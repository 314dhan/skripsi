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zon\tugas kuliah\Skripsi\NEW\"/>
    </mc:Choice>
  </mc:AlternateContent>
  <xr:revisionPtr revIDLastSave="0" documentId="13_ncr:1_{32670621-E4A8-4E0F-ABC8-738BA53083AA}" xr6:coauthVersionLast="47" xr6:coauthVersionMax="47" xr10:uidLastSave="{00000000-0000-0000-0000-000000000000}"/>
  <bookViews>
    <workbookView xWindow="-120" yWindow="-120" windowWidth="29040" windowHeight="15720" xr2:uid="{2416D054-9A08-47DB-B944-2A04DF7A16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1" i="1" l="1"/>
  <c r="N42" i="1"/>
  <c r="N35" i="1"/>
  <c r="N36" i="1"/>
  <c r="N37" i="1"/>
  <c r="N38" i="1"/>
  <c r="N39" i="1"/>
  <c r="N40" i="1"/>
  <c r="N26" i="1"/>
  <c r="N27" i="1"/>
  <c r="N28" i="1"/>
  <c r="N29" i="1"/>
  <c r="N30" i="1"/>
  <c r="N31" i="1"/>
  <c r="N32" i="1"/>
  <c r="N33" i="1"/>
  <c r="N34" i="1"/>
  <c r="N25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93" i="1"/>
  <c r="B90" i="1" a="1"/>
  <c r="B90" i="1" s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72" i="1"/>
  <c r="B71" i="1" a="1"/>
  <c r="B71" i="1" s="1"/>
  <c r="B66" i="1" a="1"/>
  <c r="B66" i="1" s="1"/>
  <c r="A62" i="1"/>
  <c r="A63" i="1"/>
  <c r="A64" i="1"/>
  <c r="A65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48" i="1"/>
  <c r="B47" i="1" a="1"/>
  <c r="B47" i="1" s="1"/>
  <c r="C25" i="1"/>
  <c r="D25" i="1"/>
  <c r="E25" i="1"/>
  <c r="F25" i="1"/>
  <c r="G25" i="1"/>
  <c r="C26" i="1"/>
  <c r="D26" i="1"/>
  <c r="E26" i="1"/>
  <c r="F26" i="1"/>
  <c r="G26" i="1"/>
  <c r="C27" i="1"/>
  <c r="D27" i="1"/>
  <c r="E27" i="1"/>
  <c r="F27" i="1"/>
  <c r="G27" i="1"/>
  <c r="C28" i="1"/>
  <c r="D28" i="1"/>
  <c r="E28" i="1"/>
  <c r="F28" i="1"/>
  <c r="G28" i="1"/>
  <c r="C29" i="1"/>
  <c r="D29" i="1"/>
  <c r="E29" i="1"/>
  <c r="F29" i="1"/>
  <c r="G29" i="1"/>
  <c r="C30" i="1"/>
  <c r="D30" i="1"/>
  <c r="E30" i="1"/>
  <c r="F30" i="1"/>
  <c r="G30" i="1"/>
  <c r="C31" i="1"/>
  <c r="D31" i="1"/>
  <c r="E31" i="1"/>
  <c r="F31" i="1"/>
  <c r="G31" i="1"/>
  <c r="C32" i="1"/>
  <c r="D32" i="1"/>
  <c r="E32" i="1"/>
  <c r="F32" i="1"/>
  <c r="G32" i="1"/>
  <c r="C33" i="1"/>
  <c r="D33" i="1"/>
  <c r="E33" i="1"/>
  <c r="F33" i="1"/>
  <c r="G33" i="1"/>
  <c r="C34" i="1"/>
  <c r="D34" i="1"/>
  <c r="E34" i="1"/>
  <c r="F34" i="1"/>
  <c r="G34" i="1"/>
  <c r="C35" i="1"/>
  <c r="D35" i="1"/>
  <c r="E35" i="1"/>
  <c r="F35" i="1"/>
  <c r="G35" i="1"/>
  <c r="C36" i="1"/>
  <c r="D36" i="1"/>
  <c r="E36" i="1"/>
  <c r="F36" i="1"/>
  <c r="G36" i="1"/>
  <c r="C37" i="1"/>
  <c r="D37" i="1"/>
  <c r="E37" i="1"/>
  <c r="F37" i="1"/>
  <c r="G37" i="1"/>
  <c r="C38" i="1"/>
  <c r="D38" i="1"/>
  <c r="E38" i="1"/>
  <c r="F38" i="1"/>
  <c r="G38" i="1"/>
  <c r="C39" i="1"/>
  <c r="D39" i="1"/>
  <c r="E39" i="1"/>
  <c r="F39" i="1"/>
  <c r="G39" i="1"/>
  <c r="C40" i="1"/>
  <c r="D40" i="1"/>
  <c r="E40" i="1"/>
  <c r="F40" i="1"/>
  <c r="G40" i="1"/>
  <c r="C41" i="1"/>
  <c r="D41" i="1"/>
  <c r="E41" i="1"/>
  <c r="F41" i="1"/>
  <c r="G41" i="1"/>
  <c r="C42" i="1"/>
  <c r="D42" i="1"/>
  <c r="E42" i="1"/>
  <c r="F42" i="1"/>
  <c r="G42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25" i="1"/>
  <c r="A41" i="1"/>
  <c r="A42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25" i="1"/>
  <c r="B24" i="1" a="1"/>
  <c r="B24" i="1" s="1"/>
  <c r="B61" i="1" l="1"/>
  <c r="B85" i="1" s="1"/>
  <c r="G48" i="1"/>
  <c r="G72" i="1" s="1"/>
  <c r="E51" i="1"/>
  <c r="E75" i="1" s="1"/>
  <c r="C49" i="1"/>
  <c r="C73" i="1" s="1"/>
  <c r="B57" i="1"/>
  <c r="B81" i="1" s="1"/>
  <c r="B56" i="1"/>
  <c r="B80" i="1" s="1"/>
  <c r="B60" i="1"/>
  <c r="B84" i="1" s="1"/>
  <c r="B55" i="1"/>
  <c r="B79" i="1" s="1"/>
  <c r="B54" i="1"/>
  <c r="B78" i="1" s="1"/>
  <c r="B58" i="1"/>
  <c r="B82" i="1" s="1"/>
  <c r="B65" i="1"/>
  <c r="B89" i="1" s="1"/>
  <c r="B64" i="1"/>
  <c r="B88" i="1" s="1"/>
  <c r="B63" i="1"/>
  <c r="B87" i="1" s="1"/>
  <c r="B51" i="1"/>
  <c r="B75" i="1" s="1"/>
  <c r="B62" i="1"/>
  <c r="B86" i="1" s="1"/>
  <c r="B50" i="1"/>
  <c r="B74" i="1" s="1"/>
  <c r="G53" i="1"/>
  <c r="G77" i="1" s="1"/>
  <c r="E65" i="1"/>
  <c r="E89" i="1" s="1"/>
  <c r="C63" i="1"/>
  <c r="C87" i="1" s="1"/>
  <c r="F60" i="1"/>
  <c r="F84" i="1" s="1"/>
  <c r="D58" i="1"/>
  <c r="D82" i="1" s="1"/>
  <c r="G55" i="1"/>
  <c r="G79" i="1" s="1"/>
  <c r="E53" i="1"/>
  <c r="E77" i="1" s="1"/>
  <c r="C51" i="1"/>
  <c r="C75" i="1" s="1"/>
  <c r="F48" i="1"/>
  <c r="F72" i="1" s="1"/>
  <c r="D56" i="1"/>
  <c r="D80" i="1" s="1"/>
  <c r="D65" i="1"/>
  <c r="D89" i="1" s="1"/>
  <c r="G62" i="1"/>
  <c r="G86" i="1" s="1"/>
  <c r="E60" i="1"/>
  <c r="E84" i="1" s="1"/>
  <c r="C58" i="1"/>
  <c r="C82" i="1" s="1"/>
  <c r="F55" i="1"/>
  <c r="F79" i="1" s="1"/>
  <c r="D53" i="1"/>
  <c r="D77" i="1" s="1"/>
  <c r="G50" i="1"/>
  <c r="G74" i="1" s="1"/>
  <c r="E48" i="1"/>
  <c r="E72" i="1" s="1"/>
  <c r="C65" i="1"/>
  <c r="C89" i="1" s="1"/>
  <c r="F62" i="1"/>
  <c r="F86" i="1" s="1"/>
  <c r="D60" i="1"/>
  <c r="D84" i="1" s="1"/>
  <c r="G57" i="1"/>
  <c r="G81" i="1" s="1"/>
  <c r="E55" i="1"/>
  <c r="E79" i="1" s="1"/>
  <c r="C53" i="1"/>
  <c r="C77" i="1" s="1"/>
  <c r="F50" i="1"/>
  <c r="F74" i="1" s="1"/>
  <c r="D48" i="1"/>
  <c r="D72" i="1" s="1"/>
  <c r="B59" i="1"/>
  <c r="B83" i="1" s="1"/>
  <c r="E62" i="1"/>
  <c r="E86" i="1" s="1"/>
  <c r="C60" i="1"/>
  <c r="C84" i="1" s="1"/>
  <c r="F57" i="1"/>
  <c r="F81" i="1" s="1"/>
  <c r="D55" i="1"/>
  <c r="D79" i="1" s="1"/>
  <c r="G52" i="1"/>
  <c r="G76" i="1" s="1"/>
  <c r="E50" i="1"/>
  <c r="E74" i="1" s="1"/>
  <c r="C48" i="1"/>
  <c r="C72" i="1" s="1"/>
  <c r="G64" i="1"/>
  <c r="G88" i="1" s="1"/>
  <c r="B52" i="1"/>
  <c r="B76" i="1" s="1"/>
  <c r="F64" i="1"/>
  <c r="F88" i="1" s="1"/>
  <c r="D62" i="1"/>
  <c r="D86" i="1" s="1"/>
  <c r="G59" i="1"/>
  <c r="G83" i="1" s="1"/>
  <c r="E57" i="1"/>
  <c r="E81" i="1" s="1"/>
  <c r="C55" i="1"/>
  <c r="C79" i="1" s="1"/>
  <c r="F52" i="1"/>
  <c r="F76" i="1" s="1"/>
  <c r="D50" i="1"/>
  <c r="D74" i="1" s="1"/>
  <c r="E63" i="1"/>
  <c r="E87" i="1" s="1"/>
  <c r="E64" i="1"/>
  <c r="E88" i="1" s="1"/>
  <c r="C62" i="1"/>
  <c r="C86" i="1" s="1"/>
  <c r="F59" i="1"/>
  <c r="F83" i="1" s="1"/>
  <c r="D57" i="1"/>
  <c r="D81" i="1" s="1"/>
  <c r="G54" i="1"/>
  <c r="G78" i="1" s="1"/>
  <c r="E52" i="1"/>
  <c r="E76" i="1" s="1"/>
  <c r="C50" i="1"/>
  <c r="C74" i="1" s="1"/>
  <c r="F58" i="1"/>
  <c r="F82" i="1" s="1"/>
  <c r="D64" i="1"/>
  <c r="D88" i="1" s="1"/>
  <c r="G61" i="1"/>
  <c r="G85" i="1" s="1"/>
  <c r="E59" i="1"/>
  <c r="E83" i="1" s="1"/>
  <c r="C57" i="1"/>
  <c r="C81" i="1" s="1"/>
  <c r="F54" i="1"/>
  <c r="F78" i="1" s="1"/>
  <c r="D52" i="1"/>
  <c r="D76" i="1" s="1"/>
  <c r="G49" i="1"/>
  <c r="G73" i="1" s="1"/>
  <c r="B53" i="1"/>
  <c r="B77" i="1" s="1"/>
  <c r="B49" i="1"/>
  <c r="B73" i="1" s="1"/>
  <c r="C64" i="1"/>
  <c r="C88" i="1" s="1"/>
  <c r="F61" i="1"/>
  <c r="F85" i="1" s="1"/>
  <c r="D59" i="1"/>
  <c r="D83" i="1" s="1"/>
  <c r="G56" i="1"/>
  <c r="G80" i="1" s="1"/>
  <c r="E54" i="1"/>
  <c r="E78" i="1" s="1"/>
  <c r="C52" i="1"/>
  <c r="C76" i="1" s="1"/>
  <c r="F49" i="1"/>
  <c r="F73" i="1" s="1"/>
  <c r="C61" i="1"/>
  <c r="C85" i="1" s="1"/>
  <c r="B48" i="1"/>
  <c r="B72" i="1" s="1"/>
  <c r="G63" i="1"/>
  <c r="G87" i="1" s="1"/>
  <c r="E61" i="1"/>
  <c r="E85" i="1" s="1"/>
  <c r="C59" i="1"/>
  <c r="C83" i="1" s="1"/>
  <c r="F56" i="1"/>
  <c r="F80" i="1" s="1"/>
  <c r="D54" i="1"/>
  <c r="D78" i="1" s="1"/>
  <c r="G51" i="1"/>
  <c r="G75" i="1" s="1"/>
  <c r="E49" i="1"/>
  <c r="E73" i="1" s="1"/>
  <c r="G65" i="1"/>
  <c r="G89" i="1" s="1"/>
  <c r="F63" i="1"/>
  <c r="F87" i="1" s="1"/>
  <c r="D61" i="1"/>
  <c r="D85" i="1" s="1"/>
  <c r="G58" i="1"/>
  <c r="G82" i="1" s="1"/>
  <c r="E56" i="1"/>
  <c r="E80" i="1" s="1"/>
  <c r="C54" i="1"/>
  <c r="C78" i="1" s="1"/>
  <c r="F51" i="1"/>
  <c r="F75" i="1" s="1"/>
  <c r="D49" i="1"/>
  <c r="D73" i="1" s="1"/>
  <c r="F65" i="1"/>
  <c r="F89" i="1" s="1"/>
  <c r="D63" i="1"/>
  <c r="D87" i="1" s="1"/>
  <c r="G60" i="1"/>
  <c r="G84" i="1" s="1"/>
  <c r="E58" i="1"/>
  <c r="E82" i="1" s="1"/>
  <c r="C56" i="1"/>
  <c r="C80" i="1" s="1"/>
  <c r="F53" i="1"/>
  <c r="F77" i="1" s="1"/>
  <c r="D51" i="1"/>
  <c r="D75" i="1" s="1"/>
  <c r="H81" i="1" l="1"/>
  <c r="B102" i="1" s="1"/>
  <c r="H86" i="1"/>
  <c r="B107" i="1" s="1"/>
  <c r="H85" i="1"/>
  <c r="B106" i="1" s="1"/>
  <c r="I75" i="1"/>
  <c r="C96" i="1" s="1"/>
  <c r="H79" i="1"/>
  <c r="B100" i="1" s="1"/>
  <c r="I84" i="1"/>
  <c r="C105" i="1" s="1"/>
  <c r="H78" i="1"/>
  <c r="B99" i="1" s="1"/>
  <c r="H80" i="1"/>
  <c r="B101" i="1" s="1"/>
  <c r="I78" i="1"/>
  <c r="C99" i="1" s="1"/>
  <c r="I74" i="1"/>
  <c r="C95" i="1" s="1"/>
  <c r="I87" i="1"/>
  <c r="C108" i="1" s="1"/>
  <c r="I89" i="1"/>
  <c r="C110" i="1" s="1"/>
  <c r="I88" i="1"/>
  <c r="C109" i="1" s="1"/>
  <c r="H82" i="1"/>
  <c r="B103" i="1" s="1"/>
  <c r="H72" i="1"/>
  <c r="B93" i="1" s="1"/>
  <c r="I72" i="1"/>
  <c r="C93" i="1" s="1"/>
  <c r="I86" i="1"/>
  <c r="C107" i="1" s="1"/>
  <c r="I85" i="1"/>
  <c r="C106" i="1" s="1"/>
  <c r="I81" i="1"/>
  <c r="C102" i="1" s="1"/>
  <c r="H89" i="1"/>
  <c r="B110" i="1" s="1"/>
  <c r="H75" i="1"/>
  <c r="B96" i="1" s="1"/>
  <c r="H87" i="1"/>
  <c r="B108" i="1" s="1"/>
  <c r="I79" i="1"/>
  <c r="C100" i="1" s="1"/>
  <c r="H83" i="1"/>
  <c r="B104" i="1" s="1"/>
  <c r="I83" i="1"/>
  <c r="C104" i="1" s="1"/>
  <c r="I80" i="1"/>
  <c r="C101" i="1" s="1"/>
  <c r="I82" i="1"/>
  <c r="C103" i="1" s="1"/>
  <c r="I73" i="1"/>
  <c r="C94" i="1" s="1"/>
  <c r="H73" i="1"/>
  <c r="B94" i="1" s="1"/>
  <c r="I76" i="1"/>
  <c r="C97" i="1" s="1"/>
  <c r="H76" i="1"/>
  <c r="B97" i="1" s="1"/>
  <c r="H74" i="1"/>
  <c r="B95" i="1" s="1"/>
  <c r="H88" i="1"/>
  <c r="B109" i="1" s="1"/>
  <c r="H84" i="1"/>
  <c r="B105" i="1" s="1"/>
  <c r="I77" i="1"/>
  <c r="C98" i="1" s="1"/>
  <c r="H77" i="1"/>
  <c r="B98" i="1" s="1"/>
  <c r="C111" i="1" l="1"/>
  <c r="C112" i="1"/>
  <c r="B112" i="1"/>
  <c r="B111" i="1"/>
  <c r="P39" i="1" l="1"/>
  <c r="P33" i="1"/>
  <c r="P38" i="1"/>
  <c r="P31" i="1"/>
  <c r="P34" i="1"/>
  <c r="P35" i="1"/>
  <c r="P32" i="1"/>
  <c r="P37" i="1"/>
  <c r="P30" i="1"/>
  <c r="P26" i="1"/>
  <c r="P25" i="1"/>
  <c r="P28" i="1"/>
  <c r="P40" i="1"/>
  <c r="P36" i="1"/>
  <c r="P42" i="1"/>
  <c r="P29" i="1"/>
  <c r="P27" i="1"/>
  <c r="P41" i="1"/>
  <c r="Q41" i="1" l="1"/>
  <c r="Q27" i="1"/>
  <c r="Q29" i="1"/>
  <c r="Q28" i="1"/>
  <c r="Q25" i="1"/>
  <c r="Q30" i="1"/>
  <c r="Q37" i="1"/>
  <c r="Q26" i="1"/>
  <c r="Q32" i="1"/>
  <c r="Q35" i="1"/>
  <c r="Q34" i="1"/>
  <c r="Q31" i="1"/>
  <c r="Q42" i="1"/>
  <c r="Q38" i="1"/>
  <c r="Q36" i="1"/>
  <c r="Q33" i="1"/>
  <c r="Q40" i="1"/>
  <c r="Q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<sst xmlns="http://schemas.openxmlformats.org/spreadsheetml/2006/main" count="102" uniqueCount="68">
  <si>
    <t>nama</t>
  </si>
  <si>
    <t>Arjuna Reyhan Wibawa</t>
  </si>
  <si>
    <t>Muhammad Dafa Alfaris</t>
  </si>
  <si>
    <t>Hikmah Dhika Nur Syafaatulloh</t>
  </si>
  <si>
    <t>Saiful Hidayat</t>
  </si>
  <si>
    <t>Rizki Andika Pratama</t>
  </si>
  <si>
    <t>Iqbal Al Rasyiig</t>
  </si>
  <si>
    <t>Muhamad Maulana Sawaludin</t>
  </si>
  <si>
    <t>Villaxandria Violensiera Virtous Vierosa Virginia</t>
  </si>
  <si>
    <t>Crespo Marfandi Pratama</t>
  </si>
  <si>
    <t>Muhammad A'Azif Junaidi</t>
  </si>
  <si>
    <t>Julian Fahmi</t>
  </si>
  <si>
    <t>Firda Aulia</t>
  </si>
  <si>
    <t>Tantri Pramudita</t>
  </si>
  <si>
    <t>Firdaus Abdul Ghanny</t>
  </si>
  <si>
    <t>Sapta</t>
  </si>
  <si>
    <t>Jamaludin</t>
  </si>
  <si>
    <t>Indra Priatna</t>
  </si>
  <si>
    <t>Elviana</t>
  </si>
  <si>
    <t>Alternatif</t>
  </si>
  <si>
    <t>Kode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</si>
  <si>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</si>
  <si>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</si>
  <si>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</si>
  <si>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</si>
  <si>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</si>
  <si>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</si>
  <si>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</si>
  <si>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</si>
  <si>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</si>
  <si>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</si>
  <si>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</si>
  <si>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</si>
  <si>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</si>
  <si>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</si>
  <si>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</si>
  <si>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</si>
  <si>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</si>
  <si>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</si>
  <si>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Cirteria</t>
  </si>
  <si>
    <t>C1</t>
  </si>
  <si>
    <t>C2</t>
  </si>
  <si>
    <t>C3</t>
  </si>
  <si>
    <t>C4</t>
  </si>
  <si>
    <t>C5</t>
  </si>
  <si>
    <t>C6</t>
  </si>
  <si>
    <t>bobot</t>
  </si>
  <si>
    <t>atribut</t>
  </si>
  <si>
    <t>benefit</t>
  </si>
  <si>
    <t>cost</t>
  </si>
  <si>
    <t>matriks keputusan</t>
  </si>
  <si>
    <t>alternatif</t>
  </si>
  <si>
    <t>kriteria</t>
  </si>
  <si>
    <t>normalisasi matriks keputusan</t>
  </si>
  <si>
    <t>hitung utility (Si) dan hitung regret (Ri)</t>
  </si>
  <si>
    <t>S</t>
  </si>
  <si>
    <t>R</t>
  </si>
  <si>
    <t>MIN</t>
  </si>
  <si>
    <t>MAX</t>
  </si>
  <si>
    <t>V</t>
  </si>
  <si>
    <t>Q</t>
  </si>
  <si>
    <t>Rank</t>
  </si>
  <si>
    <t>Step 1</t>
  </si>
  <si>
    <t>Step 2</t>
  </si>
  <si>
    <t>Step 3</t>
  </si>
  <si>
    <t>&lt;- Step 4</t>
  </si>
  <si>
    <t>Step 5</t>
  </si>
  <si>
    <t>&lt;- Rank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</si>
</sst>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/>
    <xf numFmtId="0" fontId="0" fillId="0" borderId="3" xfId="0" applyFill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541E8-2893-4919-9674-952D1FFD0135}">
  <dimension ref="A1:S112"/>
  <sheetViews>
    <sheetView tabSelected="1" topLeftCell="A18" zoomScale="109" zoomScaleNormal="130" workbookViewId="0">
      <selection activeCell="K34" sqref="K34"/>
    </sheetView>
  </sheetViews>
  <sheetFormatPr defaultRowHeight="15"/>
  <cols>
    <col min="1" max="1" width="44.5703125" bestFit="1" customWidth="1"/>
    <col min="5" max="5" width="6.42578125" bestFit="1" customWidth="1"/>
    <col min="18" max="18" width="44.5703125" bestFit="1" customWidth="1"/>
  </cols>
  <sheetData>
    <row r="1" spans="1:13">
      <c r="A1" s="4" t="s">
        <v>19</v>
      </c>
      <c r="B1" s="4" t="s">
        <v>20</v>
      </c>
      <c r="C1" s="3"/>
      <c r="D1" s="5" t="s">
        <v>39</v>
      </c>
      <c r="E1" s="5" t="s">
        <v>46</v>
      </c>
      <c r="F1" s="5" t="s">
        <v>47</v>
      </c>
      <c r="G1" s="3"/>
    </row>
    <row r="2" spans="1:13">
      <c r="A2" s="4" t="s">
        <v>1</v>
      </c>
      <c r="B2" s="4" t="s">
        <v>21</v>
      </c>
      <c r="D2" s="4" t="s">
        <v>40</v>
      </c>
      <c r="E2" s="4">
        <v>0.3</v>
      </c>
      <c r="F2" s="4" t="s">
        <v>48</v>
      </c>
      <c r="K2" s="1"/>
      <c r="L2" s="1"/>
      <c r="M2" s="1"/>
    </row>
    <row r="3" spans="1:13">
      <c r="A3" s="4" t="s">
        <v>2</v>
      </c>
      <c r="B3" s="4" t="s">
        <v>22</v>
      </c>
      <c r="D3" s="4" t="s">
        <v>41</v>
      </c>
      <c r="E3" s="4">
        <v>0.3</v>
      </c>
      <c r="F3" s="4" t="s">
        <v>48</v>
      </c>
      <c r="K3" s="2"/>
      <c r="L3" s="2"/>
      <c r="M3" s="2"/>
    </row>
    <row r="4" spans="1:13">
      <c r="A4" s="4" t="s">
        <v>3</v>
      </c>
      <c r="B4" s="4" t="s">
        <v>23</v>
      </c>
      <c r="D4" s="4" t="s">
        <v>42</v>
      </c>
      <c r="E4" s="4">
        <v>0.1</v>
      </c>
      <c r="F4" s="4" t="s">
        <v>49</v>
      </c>
    </row>
    <row r="5" spans="1:13">
      <c r="A5" s="4" t="s">
        <v>4</v>
      </c>
      <c r="B5" s="4" t="s">
        <v>24</v>
      </c>
      <c r="D5" s="4" t="s">
        <v>43</v>
      </c>
      <c r="E5" s="4">
        <v>0.1</v>
      </c>
      <c r="F5" s="4" t="s">
        <v>49</v>
      </c>
    </row>
    <row r="6" spans="1:13">
      <c r="A6" s="4" t="s">
        <v>5</v>
      </c>
      <c r="B6" s="4" t="s">
        <v>25</v>
      </c>
      <c r="D6" s="4" t="s">
        <v>44</v>
      </c>
      <c r="E6" s="4">
        <v>0.1</v>
      </c>
      <c r="F6" s="4" t="s">
        <v>49</v>
      </c>
      <c r="H6">
        <v>20</v>
      </c>
      <c r="I6">
        <v>15</v>
      </c>
      <c r="J6">
        <v>1</v>
      </c>
      <c r="K6">
        <v>2</v>
      </c>
      <c r="L6">
        <v>3</v>
      </c>
      <c r="M6">
        <v>4</v>
      </c>
    </row>
    <row r="7" spans="1:13">
      <c r="A7" s="4" t="s">
        <v>6</v>
      </c>
      <c r="B7" s="4" t="s">
        <v>26</v>
      </c>
      <c r="D7" s="4" t="s">
        <v>45</v>
      </c>
      <c r="E7" s="4">
        <v>0.1</v>
      </c>
      <c r="F7" s="4" t="s">
        <v>49</v>
      </c>
      <c r="H7">
        <v>15</v>
      </c>
      <c r="I7">
        <v>15</v>
      </c>
      <c r="J7">
        <v>1</v>
      </c>
      <c r="K7">
        <v>2</v>
      </c>
      <c r="L7">
        <v>3</v>
      </c>
      <c r="M7">
        <v>4</v>
      </c>
    </row>
    <row r="8" spans="1:13">
      <c r="A8" s="4" t="s">
        <v>7</v>
      </c>
      <c r="B8" s="4" t="s">
        <v>27</v>
      </c>
      <c r="H8">
        <v>20</v>
      </c>
      <c r="I8">
        <v>15</v>
      </c>
      <c r="J8">
        <v>-1</v>
      </c>
      <c r="K8">
        <v>2</v>
      </c>
      <c r="L8">
        <v>3</v>
      </c>
      <c r="M8">
        <v>4</v>
      </c>
    </row>
    <row r="9" spans="1:13">
      <c r="A9" s="4" t="s">
        <v>8</v>
      </c>
      <c r="B9" s="4" t="s">
        <v>28</v>
      </c>
      <c r="H9">
        <v>10</v>
      </c>
      <c r="I9">
        <v>10</v>
      </c>
      <c r="J9">
        <v>1</v>
      </c>
      <c r="K9">
        <v>2</v>
      </c>
      <c r="L9">
        <v>3</v>
      </c>
      <c r="M9">
        <v>4</v>
      </c>
    </row>
    <row r="10" spans="1:13">
      <c r="A10" s="4" t="s">
        <v>9</v>
      </c>
      <c r="B10" s="4" t="s">
        <v>29</v>
      </c>
      <c r="H10">
        <v>15</v>
      </c>
      <c r="I10">
        <v>15</v>
      </c>
      <c r="J10">
        <v>1</v>
      </c>
      <c r="K10">
        <v>2</v>
      </c>
      <c r="L10">
        <v>3</v>
      </c>
      <c r="M10">
        <v>4</v>
      </c>
    </row>
    <row r="11" spans="1:13">
      <c r="A11" s="4" t="s">
        <v>10</v>
      </c>
      <c r="B11" s="4" t="s">
        <v>30</v>
      </c>
      <c r="H11">
        <v>20</v>
      </c>
      <c r="I11">
        <v>20</v>
      </c>
      <c r="J11">
        <v>1</v>
      </c>
      <c r="K11">
        <v>2</v>
      </c>
      <c r="L11">
        <v>3</v>
      </c>
      <c r="M11">
        <v>4</v>
      </c>
    </row>
    <row r="12" spans="1:13">
      <c r="A12" s="4" t="s">
        <v>11</v>
      </c>
      <c r="B12" s="4" t="s">
        <v>31</v>
      </c>
      <c r="H12">
        <v>10</v>
      </c>
      <c r="I12">
        <v>10</v>
      </c>
      <c r="J12">
        <v>1</v>
      </c>
      <c r="K12">
        <v>2</v>
      </c>
      <c r="L12">
        <v>3</v>
      </c>
      <c r="M12">
        <v>4</v>
      </c>
    </row>
    <row r="13" spans="1:13">
      <c r="A13" s="4" t="s">
        <v>12</v>
      </c>
      <c r="B13" s="4" t="s">
        <v>32</v>
      </c>
      <c r="H13">
        <v>20</v>
      </c>
      <c r="I13">
        <v>15</v>
      </c>
      <c r="J13">
        <v>1</v>
      </c>
      <c r="K13">
        <v>2</v>
      </c>
      <c r="L13">
        <v>3</v>
      </c>
      <c r="M13">
        <v>3</v>
      </c>
    </row>
    <row r="14" spans="1:13">
      <c r="A14" s="4" t="s">
        <v>13</v>
      </c>
      <c r="B14" s="4" t="s">
        <v>33</v>
      </c>
      <c r="H14">
        <v>20</v>
      </c>
      <c r="I14">
        <v>15</v>
      </c>
      <c r="J14">
        <v>1</v>
      </c>
      <c r="K14">
        <v>2</v>
      </c>
      <c r="L14">
        <v>3</v>
      </c>
      <c r="M14">
        <v>4</v>
      </c>
    </row>
    <row r="15" spans="1:13">
      <c r="A15" s="4" t="s">
        <v>14</v>
      </c>
      <c r="B15" s="4" t="s">
        <v>34</v>
      </c>
      <c r="H15">
        <v>20</v>
      </c>
      <c r="I15">
        <v>10</v>
      </c>
      <c r="J15">
        <v>1</v>
      </c>
      <c r="K15">
        <v>2</v>
      </c>
      <c r="L15">
        <v>3</v>
      </c>
      <c r="M15">
        <v>4</v>
      </c>
    </row>
    <row r="16" spans="1:13">
      <c r="A16" s="4" t="s">
        <v>15</v>
      </c>
      <c r="B16" s="4" t="s">
        <v>35</v>
      </c>
      <c r="H16">
        <v>20</v>
      </c>
      <c r="I16">
        <v>15</v>
      </c>
      <c r="J16">
        <v>1</v>
      </c>
      <c r="K16">
        <v>2</v>
      </c>
      <c r="L16">
        <v>3</v>
      </c>
      <c r="M16">
        <v>4</v>
      </c>
    </row>
    <row r="17" spans="1:19">
      <c r="A17" s="4" t="s">
        <v>16</v>
      </c>
      <c r="B17" s="4" t="s">
        <v>36</v>
      </c>
      <c r="H17">
        <v>20</v>
      </c>
      <c r="I17">
        <v>10</v>
      </c>
      <c r="J17">
        <v>1</v>
      </c>
      <c r="K17">
        <v>2</v>
      </c>
      <c r="L17">
        <v>3</v>
      </c>
      <c r="M17">
        <v>4</v>
      </c>
    </row>
    <row r="18" spans="1:19">
      <c r="A18" s="4" t="s">
        <v>17</v>
      </c>
      <c r="B18" s="4" t="s">
        <v>37</v>
      </c>
      <c r="H18">
        <v>20</v>
      </c>
      <c r="I18">
        <v>15</v>
      </c>
      <c r="J18">
        <v>1</v>
      </c>
      <c r="K18">
        <v>2</v>
      </c>
      <c r="L18">
        <v>3</v>
      </c>
      <c r="M18">
        <v>4</v>
      </c>
    </row>
    <row r="19" spans="1:19">
      <c r="A19" s="4" t="s">
        <v>18</v>
      </c>
      <c r="B19" s="4" t="s">
        <v>38</v>
      </c>
      <c r="H19">
        <v>20</v>
      </c>
      <c r="I19">
        <v>10</v>
      </c>
      <c r="J19">
        <v>1</v>
      </c>
      <c r="K19">
        <v>2</v>
      </c>
      <c r="L19">
        <v>3</v>
      </c>
      <c r="M19">
        <v>4</v>
      </c>
    </row>
    <row r="20" spans="1:19">
      <c r="H20">
        <v>10</v>
      </c>
      <c r="I20">
        <v>10</v>
      </c>
      <c r="J20">
        <v>1</v>
      </c>
      <c r="K20">
        <v>2</v>
      </c>
      <c r="L20">
        <v>3</v>
      </c>
      <c r="M20">
        <v>4</v>
      </c>
    </row>
    <row r="21" spans="1:19">
      <c r="A21" t="s">
        <v>62</v>
      </c>
      <c r="H21">
        <v>20</v>
      </c>
      <c r="I21">
        <v>20</v>
      </c>
      <c r="J21">
        <v>1</v>
      </c>
      <c r="K21">
        <v>2</v>
      </c>
      <c r="L21">
        <v>3</v>
      </c>
      <c r="M21">
        <v>4</v>
      </c>
    </row>
    <row r="22" spans="1:19">
      <c r="A22" s="10" t="s">
        <v>50</v>
      </c>
      <c r="B22" s="10"/>
      <c r="C22" s="10"/>
      <c r="D22" s="10"/>
      <c r="E22" s="10"/>
      <c r="F22" s="10"/>
      <c r="G22" s="10"/>
      <c r="H22">
        <v>20</v>
      </c>
      <c r="I22">
        <v>15</v>
      </c>
      <c r="J22">
        <v>1</v>
      </c>
      <c r="K22">
        <v>2</v>
      </c>
      <c r="L22">
        <v>3</v>
      </c>
      <c r="M22">
        <v>4</v>
      </c>
      <c r="Q22" t="s">
        <v>66</v>
      </c>
    </row>
    <row r="23" spans="1:19">
      <c r="A23" s="9" t="s">
        <v>51</v>
      </c>
      <c r="B23" s="9" t="s">
        <v>52</v>
      </c>
      <c r="C23" s="9"/>
      <c r="D23" s="9"/>
      <c r="E23" s="9"/>
      <c r="F23" s="9"/>
      <c r="G23" s="9"/>
      <c r="H23">
        <v>15</v>
      </c>
      <c r="I23">
        <v>15</v>
      </c>
      <c r="J23">
        <v>1</v>
      </c>
      <c r="K23">
        <v>2</v>
      </c>
      <c r="L23">
        <v>3</v>
      </c>
      <c r="M23">
        <v>4</v>
      </c>
    </row>
    <row r="24" spans="1:19">
      <c r="A24" s="9"/>
      <c r="B24" s="4" t="str" cm="1">
        <f t="array" ref="B24:G24">TRANSPOSE(D2:D7)</f>
        <v>C1</v>
      </c>
      <c r="C24" s="4" t="str">
        <v>C2</v>
      </c>
      <c r="D24" s="4" t="str">
        <v>C3</v>
      </c>
      <c r="E24" s="4" t="str">
        <v>C4</v>
      </c>
      <c r="F24" s="4" t="str">
        <v>C5</v>
      </c>
      <c r="G24" s="4" t="str">
        <v>C6</v>
      </c>
      <c r="N24" s="4" t="s">
        <v>51</v>
      </c>
      <c r="O24" s="4" t="s">
        <v>59</v>
      </c>
      <c r="P24" s="4" t="s">
        <v>60</v>
      </c>
      <c r="Q24" s="4" t="s">
        <v>61</v>
      </c>
      <c r="R24" s="4" t="s">
        <v>0</v>
      </c>
    </row>
    <row r="25" spans="1:19">
      <c r="A25" s="4" t="str">
        <f t="shared" ref="A25:A42" si="0">B2</f>
        <v>A1</v>
      </c>
      <c r="B25" s="4">
        <f t="shared" ref="B25:B42" si="1">H6</f>
        <v>20</v>
      </c>
      <c r="C25" s="4">
        <f t="shared" ref="C25:C42" si="2">I6</f>
        <v>15</v>
      </c>
      <c r="D25" s="4">
        <f t="shared" ref="D25:D42" si="3">J6</f>
        <v>1</v>
      </c>
      <c r="E25" s="4">
        <f t="shared" ref="E25:E42" si="4">K6</f>
        <v>2</v>
      </c>
      <c r="F25" s="4">
        <f t="shared" ref="F25:F42" si="5">L6</f>
        <v>3</v>
      </c>
      <c r="G25" s="4">
        <f t="shared" ref="G25:G42" si="6">M6</f>
        <v>4</v>
      </c>
      <c r="N25" s="4" t="str">
        <f t="shared" ref="N25:N42" si="7">B2</f>
        <v>A1</v>
      </c>
      <c r="O25" s="9">
        <v>0.5</v>
      </c>
      <c r="P25" s="4">
        <f>$O$25*((B93-$B$111)/($B$112/$B$111)+(1-$O$25)*((C93-$C$111)/($C$112-$C$111)))</f>
        <v>1.4772727272727275</v>
      </c>
      <c r="Q25" s="4">
        <f t="shared" ref="Q25:Q42" si="8">_xlfn.RANK.AVG(P25,$P$25:$P$42,1)</f>
        <v>14</v>
      </c>
      <c r="R25" s="4" t="s">
        <v>1</v>
      </c>
    </row>
    <row r="26" spans="1:19">
      <c r="A26" s="4" t="str">
        <f t="shared" si="0"/>
        <v>A2</v>
      </c>
      <c r="B26" s="4">
        <f t="shared" si="1"/>
        <v>15</v>
      </c>
      <c r="C26" s="4">
        <f t="shared" si="2"/>
        <v>15</v>
      </c>
      <c r="D26" s="4">
        <f t="shared" si="3"/>
        <v>1</v>
      </c>
      <c r="E26" s="4">
        <f t="shared" si="4"/>
        <v>2</v>
      </c>
      <c r="F26" s="4">
        <f t="shared" si="5"/>
        <v>3</v>
      </c>
      <c r="G26" s="4">
        <f t="shared" si="6"/>
        <v>4</v>
      </c>
      <c r="N26" s="4" t="str">
        <f t="shared" si="7"/>
        <v>A2</v>
      </c>
      <c r="O26" s="9"/>
      <c r="P26" s="4">
        <f>$O$25*((B94-$B$111)/($B$112/$B$111)+(1-$O$25)*((C94-$C$111)/($C$112-$C$111)))</f>
        <v>0.94318181818181845</v>
      </c>
      <c r="Q26" s="4">
        <f t="shared" si="8"/>
        <v>5</v>
      </c>
      <c r="R26" s="4" t="s">
        <v>2</v>
      </c>
    </row>
    <row r="27" spans="1:19">
      <c r="A27" s="4" t="str">
        <f t="shared" si="0"/>
        <v>A3</v>
      </c>
      <c r="B27" s="4">
        <f t="shared" si="1"/>
        <v>20</v>
      </c>
      <c r="C27" s="4">
        <f t="shared" si="2"/>
        <v>15</v>
      </c>
      <c r="D27" s="4">
        <f t="shared" si="3"/>
        <v>-1</v>
      </c>
      <c r="E27" s="4">
        <f t="shared" si="4"/>
        <v>2</v>
      </c>
      <c r="F27" s="4">
        <f t="shared" si="5"/>
        <v>3</v>
      </c>
      <c r="G27" s="4">
        <f t="shared" si="6"/>
        <v>4</v>
      </c>
      <c r="N27" s="4" t="str">
        <f t="shared" si="7"/>
        <v>A3</v>
      </c>
      <c r="O27" s="9"/>
      <c r="P27" s="4">
        <f>$O$25*((B95-$B$111)/($B$112/$B$111)+(1-$O$25)*((C95-$C$111)/($C$112-$C$111)))</f>
        <v>1.3136363636363639</v>
      </c>
      <c r="Q27" s="4">
        <f t="shared" si="8"/>
        <v>10</v>
      </c>
      <c r="R27" s="4" t="s">
        <v>3</v>
      </c>
    </row>
    <row r="28" spans="1:19">
      <c r="A28" s="4" t="str">
        <f t="shared" si="0"/>
        <v>A4</v>
      </c>
      <c r="B28" s="4">
        <f t="shared" si="1"/>
        <v>10</v>
      </c>
      <c r="C28" s="4">
        <f t="shared" si="2"/>
        <v>10</v>
      </c>
      <c r="D28" s="4">
        <f t="shared" si="3"/>
        <v>1</v>
      </c>
      <c r="E28" s="4">
        <f t="shared" si="4"/>
        <v>2</v>
      </c>
      <c r="F28" s="4">
        <f t="shared" si="5"/>
        <v>3</v>
      </c>
      <c r="G28" s="4">
        <f t="shared" si="6"/>
        <v>4</v>
      </c>
      <c r="N28" s="4" t="str">
        <f t="shared" si="7"/>
        <v>A4</v>
      </c>
      <c r="O28" s="9"/>
      <c r="P28" s="4">
        <f>$O$25*((B96-$B$111)/($B$112/$B$111)+(1-$O$25)*((C96-$C$111)/($C$112-$C$111)))</f>
        <v>0</v>
      </c>
      <c r="Q28" s="4">
        <f t="shared" si="8"/>
        <v>2</v>
      </c>
      <c r="R28" s="4" t="s">
        <v>4</v>
      </c>
      <c r="S28" t="s">
        <v>67</v>
      </c>
    </row>
    <row r="29" spans="1:19">
      <c r="A29" s="4" t="str">
        <f t="shared" si="0"/>
        <v>A5</v>
      </c>
      <c r="B29" s="4">
        <f t="shared" si="1"/>
        <v>15</v>
      </c>
      <c r="C29" s="4">
        <f t="shared" si="2"/>
        <v>15</v>
      </c>
      <c r="D29" s="4">
        <f t="shared" si="3"/>
        <v>1</v>
      </c>
      <c r="E29" s="4">
        <f t="shared" si="4"/>
        <v>2</v>
      </c>
      <c r="F29" s="4">
        <f t="shared" si="5"/>
        <v>3</v>
      </c>
      <c r="G29" s="4">
        <f t="shared" si="6"/>
        <v>4</v>
      </c>
      <c r="N29" s="4" t="str">
        <f t="shared" si="7"/>
        <v>A5</v>
      </c>
      <c r="O29" s="9"/>
      <c r="P29" s="4">
        <f>$O$25*((B97-$B$111)/($B$112/$B$111)+(1-$O$25)*((C97-$C$111)/($C$112-$C$111)))</f>
        <v>0.94318181818181845</v>
      </c>
      <c r="Q29" s="4">
        <f t="shared" si="8"/>
        <v>5</v>
      </c>
      <c r="R29" s="4" t="s">
        <v>5</v>
      </c>
    </row>
    <row r="30" spans="1:19">
      <c r="A30" s="4" t="str">
        <f t="shared" si="0"/>
        <v>A6</v>
      </c>
      <c r="B30" s="4">
        <f t="shared" si="1"/>
        <v>20</v>
      </c>
      <c r="C30" s="4">
        <f t="shared" si="2"/>
        <v>20</v>
      </c>
      <c r="D30" s="4">
        <f t="shared" si="3"/>
        <v>1</v>
      </c>
      <c r="E30" s="4">
        <f t="shared" si="4"/>
        <v>2</v>
      </c>
      <c r="F30" s="4">
        <f t="shared" si="5"/>
        <v>3</v>
      </c>
      <c r="G30" s="4">
        <f t="shared" si="6"/>
        <v>4</v>
      </c>
      <c r="N30" s="4" t="str">
        <f t="shared" si="7"/>
        <v>A6</v>
      </c>
      <c r="O30" s="9"/>
      <c r="P30" s="4">
        <f>$O$25*((B98-$B$111)/($B$112/$B$111)+(1-$O$25)*((C98-$C$111)/($C$112-$C$111)))</f>
        <v>1.8863636363636365</v>
      </c>
      <c r="Q30" s="4">
        <f t="shared" si="8"/>
        <v>17.5</v>
      </c>
      <c r="R30" s="4" t="s">
        <v>6</v>
      </c>
    </row>
    <row r="31" spans="1:19">
      <c r="A31" s="4" t="str">
        <f t="shared" si="0"/>
        <v>A7</v>
      </c>
      <c r="B31" s="4">
        <f t="shared" si="1"/>
        <v>10</v>
      </c>
      <c r="C31" s="4">
        <f t="shared" si="2"/>
        <v>10</v>
      </c>
      <c r="D31" s="4">
        <f t="shared" si="3"/>
        <v>1</v>
      </c>
      <c r="E31" s="4">
        <f t="shared" si="4"/>
        <v>2</v>
      </c>
      <c r="F31" s="4">
        <f t="shared" si="5"/>
        <v>3</v>
      </c>
      <c r="G31" s="4">
        <f t="shared" si="6"/>
        <v>4</v>
      </c>
      <c r="N31" s="4" t="str">
        <f t="shared" si="7"/>
        <v>A7</v>
      </c>
      <c r="O31" s="9"/>
      <c r="P31" s="4">
        <f>$O$25*((B99-$B$111)/($B$112/$B$111)+(1-$O$25)*((C99-$C$111)/($C$112-$C$111)))</f>
        <v>0</v>
      </c>
      <c r="Q31" s="4">
        <f t="shared" si="8"/>
        <v>2</v>
      </c>
      <c r="R31" s="4" t="s">
        <v>7</v>
      </c>
      <c r="S31" t="s">
        <v>67</v>
      </c>
    </row>
    <row r="32" spans="1:19">
      <c r="A32" s="4" t="str">
        <f t="shared" si="0"/>
        <v>A8</v>
      </c>
      <c r="B32" s="4">
        <f t="shared" si="1"/>
        <v>20</v>
      </c>
      <c r="C32" s="4">
        <f t="shared" si="2"/>
        <v>15</v>
      </c>
      <c r="D32" s="4">
        <f t="shared" si="3"/>
        <v>1</v>
      </c>
      <c r="E32" s="4">
        <f t="shared" si="4"/>
        <v>2</v>
      </c>
      <c r="F32" s="4">
        <f t="shared" si="5"/>
        <v>3</v>
      </c>
      <c r="G32" s="4">
        <f t="shared" si="6"/>
        <v>3</v>
      </c>
      <c r="N32" s="4" t="str">
        <f t="shared" si="7"/>
        <v>A8</v>
      </c>
      <c r="O32" s="9"/>
      <c r="P32" s="4">
        <f>$O$25*((B100-$B$111)/($B$112/$B$111)+(1-$O$25)*((C100-$C$111)/($C$112-$C$111)))</f>
        <v>1.3954545454545455</v>
      </c>
      <c r="Q32" s="4">
        <f t="shared" si="8"/>
        <v>11</v>
      </c>
      <c r="R32" s="4" t="s">
        <v>8</v>
      </c>
    </row>
    <row r="33" spans="1:19">
      <c r="A33" s="4" t="str">
        <f t="shared" si="0"/>
        <v>A9</v>
      </c>
      <c r="B33" s="4">
        <f t="shared" si="1"/>
        <v>20</v>
      </c>
      <c r="C33" s="4">
        <f t="shared" si="2"/>
        <v>15</v>
      </c>
      <c r="D33" s="4">
        <f t="shared" si="3"/>
        <v>1</v>
      </c>
      <c r="E33" s="4">
        <f t="shared" si="4"/>
        <v>2</v>
      </c>
      <c r="F33" s="4">
        <f t="shared" si="5"/>
        <v>3</v>
      </c>
      <c r="G33" s="4">
        <f t="shared" si="6"/>
        <v>4</v>
      </c>
      <c r="N33" s="4" t="str">
        <f t="shared" si="7"/>
        <v>A9</v>
      </c>
      <c r="O33" s="9"/>
      <c r="P33" s="4">
        <f>$O$25*((B101-$B$111)/($B$112/$B$111)+(1-$O$25)*((C101-$C$111)/($C$112-$C$111)))</f>
        <v>1.4772727272727275</v>
      </c>
      <c r="Q33" s="4">
        <f t="shared" si="8"/>
        <v>14</v>
      </c>
      <c r="R33" s="4" t="s">
        <v>9</v>
      </c>
    </row>
    <row r="34" spans="1:19">
      <c r="A34" s="4" t="str">
        <f t="shared" si="0"/>
        <v>A10</v>
      </c>
      <c r="B34" s="4">
        <f t="shared" si="1"/>
        <v>20</v>
      </c>
      <c r="C34" s="4">
        <f t="shared" si="2"/>
        <v>10</v>
      </c>
      <c r="D34" s="4">
        <f t="shared" si="3"/>
        <v>1</v>
      </c>
      <c r="E34" s="4">
        <f t="shared" si="4"/>
        <v>2</v>
      </c>
      <c r="F34" s="4">
        <f t="shared" si="5"/>
        <v>3</v>
      </c>
      <c r="G34" s="4">
        <f t="shared" si="6"/>
        <v>4</v>
      </c>
      <c r="N34" s="4" t="str">
        <f t="shared" si="7"/>
        <v>A10</v>
      </c>
      <c r="O34" s="9"/>
      <c r="P34" s="4">
        <f>$O$25*((B102-$B$111)/($B$112/$B$111)+(1-$O$25)*((C102-$C$111)/($C$112-$C$111)))</f>
        <v>1.0681818181818183</v>
      </c>
      <c r="Q34" s="4">
        <f t="shared" si="8"/>
        <v>8</v>
      </c>
      <c r="R34" s="4" t="s">
        <v>10</v>
      </c>
    </row>
    <row r="35" spans="1:19">
      <c r="A35" s="4" t="str">
        <f t="shared" si="0"/>
        <v>A11</v>
      </c>
      <c r="B35" s="4">
        <f t="shared" si="1"/>
        <v>20</v>
      </c>
      <c r="C35" s="4">
        <f t="shared" si="2"/>
        <v>15</v>
      </c>
      <c r="D35" s="4">
        <f t="shared" si="3"/>
        <v>1</v>
      </c>
      <c r="E35" s="4">
        <f t="shared" si="4"/>
        <v>2</v>
      </c>
      <c r="F35" s="4">
        <f t="shared" si="5"/>
        <v>3</v>
      </c>
      <c r="G35" s="4">
        <f t="shared" si="6"/>
        <v>4</v>
      </c>
      <c r="N35" s="4" t="str">
        <f t="shared" si="7"/>
        <v>A11</v>
      </c>
      <c r="O35" s="9"/>
      <c r="P35" s="4">
        <f>$O$25*((B103-$B$111)/($B$112/$B$111)+(1-$O$25)*((C103-$C$111)/($C$112-$C$111)))</f>
        <v>1.4772727272727275</v>
      </c>
      <c r="Q35" s="4">
        <f t="shared" si="8"/>
        <v>14</v>
      </c>
      <c r="R35" s="4" t="s">
        <v>11</v>
      </c>
    </row>
    <row r="36" spans="1:19">
      <c r="A36" s="4" t="str">
        <f t="shared" si="0"/>
        <v>A12</v>
      </c>
      <c r="B36" s="4">
        <f t="shared" si="1"/>
        <v>20</v>
      </c>
      <c r="C36" s="4">
        <f t="shared" si="2"/>
        <v>10</v>
      </c>
      <c r="D36" s="4">
        <f t="shared" si="3"/>
        <v>1</v>
      </c>
      <c r="E36" s="4">
        <f t="shared" si="4"/>
        <v>2</v>
      </c>
      <c r="F36" s="4">
        <f t="shared" si="5"/>
        <v>3</v>
      </c>
      <c r="G36" s="4">
        <f t="shared" si="6"/>
        <v>4</v>
      </c>
      <c r="N36" s="4" t="str">
        <f t="shared" si="7"/>
        <v>A12</v>
      </c>
      <c r="O36" s="9"/>
      <c r="P36" s="4">
        <f>$O$25*((B104-$B$111)/($B$112/$B$111)+(1-$O$25)*((C104-$C$111)/($C$112-$C$111)))</f>
        <v>1.0681818181818183</v>
      </c>
      <c r="Q36" s="4">
        <f t="shared" si="8"/>
        <v>8</v>
      </c>
      <c r="R36" s="4" t="s">
        <v>12</v>
      </c>
    </row>
    <row r="37" spans="1:19">
      <c r="A37" s="4" t="str">
        <f t="shared" si="0"/>
        <v>A13</v>
      </c>
      <c r="B37" s="4">
        <f t="shared" si="1"/>
        <v>20</v>
      </c>
      <c r="C37" s="4">
        <f t="shared" si="2"/>
        <v>15</v>
      </c>
      <c r="D37" s="4">
        <f t="shared" si="3"/>
        <v>1</v>
      </c>
      <c r="E37" s="4">
        <f t="shared" si="4"/>
        <v>2</v>
      </c>
      <c r="F37" s="4">
        <f t="shared" si="5"/>
        <v>3</v>
      </c>
      <c r="G37" s="4">
        <f t="shared" si="6"/>
        <v>4</v>
      </c>
      <c r="N37" s="4" t="str">
        <f t="shared" si="7"/>
        <v>A13</v>
      </c>
      <c r="O37" s="9"/>
      <c r="P37" s="4">
        <f>$O$25*((B105-$B$111)/($B$112/$B$111)+(1-$O$25)*((C105-$C$111)/($C$112-$C$111)))</f>
        <v>1.4772727272727275</v>
      </c>
      <c r="Q37" s="4">
        <f t="shared" si="8"/>
        <v>14</v>
      </c>
      <c r="R37" s="4" t="s">
        <v>13</v>
      </c>
    </row>
    <row r="38" spans="1:19">
      <c r="A38" s="4" t="str">
        <f t="shared" si="0"/>
        <v>A14</v>
      </c>
      <c r="B38" s="4">
        <f t="shared" si="1"/>
        <v>20</v>
      </c>
      <c r="C38" s="4">
        <f t="shared" si="2"/>
        <v>10</v>
      </c>
      <c r="D38" s="4">
        <f t="shared" si="3"/>
        <v>1</v>
      </c>
      <c r="E38" s="4">
        <f t="shared" si="4"/>
        <v>2</v>
      </c>
      <c r="F38" s="4">
        <f t="shared" si="5"/>
        <v>3</v>
      </c>
      <c r="G38" s="4">
        <f t="shared" si="6"/>
        <v>4</v>
      </c>
      <c r="N38" s="4" t="str">
        <f t="shared" si="7"/>
        <v>A14</v>
      </c>
      <c r="O38" s="9"/>
      <c r="P38" s="4">
        <f>$O$25*((B106-$B$111)/($B$112/$B$111)+(1-$O$25)*((C106-$C$111)/($C$112-$C$111)))</f>
        <v>1.0681818181818183</v>
      </c>
      <c r="Q38" s="4">
        <f t="shared" si="8"/>
        <v>8</v>
      </c>
      <c r="R38" s="4" t="s">
        <v>14</v>
      </c>
    </row>
    <row r="39" spans="1:19">
      <c r="A39" s="4" t="str">
        <f t="shared" si="0"/>
        <v>A15</v>
      </c>
      <c r="B39" s="4">
        <f t="shared" si="1"/>
        <v>10</v>
      </c>
      <c r="C39" s="4">
        <f t="shared" si="2"/>
        <v>10</v>
      </c>
      <c r="D39" s="4">
        <f t="shared" si="3"/>
        <v>1</v>
      </c>
      <c r="E39" s="4">
        <f t="shared" si="4"/>
        <v>2</v>
      </c>
      <c r="F39" s="4">
        <f t="shared" si="5"/>
        <v>3</v>
      </c>
      <c r="G39" s="4">
        <f t="shared" si="6"/>
        <v>4</v>
      </c>
      <c r="N39" s="4" t="str">
        <f t="shared" si="7"/>
        <v>A15</v>
      </c>
      <c r="O39" s="9"/>
      <c r="P39" s="4">
        <f>$O$25*((B107-$B$111)/($B$112/$B$111)+(1-$O$25)*((C107-$C$111)/($C$112-$C$111)))</f>
        <v>0</v>
      </c>
      <c r="Q39" s="4">
        <f t="shared" si="8"/>
        <v>2</v>
      </c>
      <c r="R39" s="4" t="s">
        <v>15</v>
      </c>
      <c r="S39" t="s">
        <v>67</v>
      </c>
    </row>
    <row r="40" spans="1:19">
      <c r="A40" s="4" t="str">
        <f t="shared" si="0"/>
        <v>A16</v>
      </c>
      <c r="B40" s="4">
        <f t="shared" si="1"/>
        <v>20</v>
      </c>
      <c r="C40" s="4">
        <f t="shared" si="2"/>
        <v>20</v>
      </c>
      <c r="D40" s="4">
        <f t="shared" si="3"/>
        <v>1</v>
      </c>
      <c r="E40" s="4">
        <f t="shared" si="4"/>
        <v>2</v>
      </c>
      <c r="F40" s="4">
        <f t="shared" si="5"/>
        <v>3</v>
      </c>
      <c r="G40" s="4">
        <f t="shared" si="6"/>
        <v>4</v>
      </c>
      <c r="N40" s="4" t="str">
        <f t="shared" si="7"/>
        <v>A16</v>
      </c>
      <c r="O40" s="9"/>
      <c r="P40" s="4">
        <f>$O$25*((B108-$B$111)/($B$112/$B$111)+(1-$O$25)*((C108-$C$111)/($C$112-$C$111)))</f>
        <v>1.8863636363636365</v>
      </c>
      <c r="Q40" s="4">
        <f t="shared" si="8"/>
        <v>17.5</v>
      </c>
      <c r="R40" s="4" t="s">
        <v>16</v>
      </c>
    </row>
    <row r="41" spans="1:19">
      <c r="A41" s="4" t="str">
        <f t="shared" si="0"/>
        <v>A17</v>
      </c>
      <c r="B41" s="4">
        <f t="shared" si="1"/>
        <v>20</v>
      </c>
      <c r="C41" s="4">
        <f t="shared" si="2"/>
        <v>15</v>
      </c>
      <c r="D41" s="4">
        <f t="shared" si="3"/>
        <v>1</v>
      </c>
      <c r="E41" s="4">
        <f t="shared" si="4"/>
        <v>2</v>
      </c>
      <c r="F41" s="4">
        <f t="shared" si="5"/>
        <v>3</v>
      </c>
      <c r="G41" s="4">
        <f t="shared" si="6"/>
        <v>4</v>
      </c>
      <c r="N41" s="4" t="str">
        <f t="shared" si="7"/>
        <v>A17</v>
      </c>
      <c r="O41" s="9"/>
      <c r="P41" s="4">
        <f>$O$25*((B109-$B$111)/($B$112/$B$111)+(1-$O$25)*((C109-$C$111)/($C$112-$C$111)))</f>
        <v>1.4772727272727275</v>
      </c>
      <c r="Q41" s="4">
        <f t="shared" si="8"/>
        <v>14</v>
      </c>
      <c r="R41" s="4" t="s">
        <v>17</v>
      </c>
    </row>
    <row r="42" spans="1:19">
      <c r="A42" s="4" t="str">
        <f t="shared" si="0"/>
        <v>A18</v>
      </c>
      <c r="B42" s="4">
        <f t="shared" si="1"/>
        <v>15</v>
      </c>
      <c r="C42" s="4">
        <f t="shared" si="2"/>
        <v>15</v>
      </c>
      <c r="D42" s="4">
        <f t="shared" si="3"/>
        <v>1</v>
      </c>
      <c r="E42" s="4">
        <f t="shared" si="4"/>
        <v>2</v>
      </c>
      <c r="F42" s="4">
        <f t="shared" si="5"/>
        <v>3</v>
      </c>
      <c r="G42" s="4">
        <f t="shared" si="6"/>
        <v>4</v>
      </c>
      <c r="N42" s="4" t="str">
        <f t="shared" si="7"/>
        <v>A18</v>
      </c>
      <c r="O42" s="9"/>
      <c r="P42" s="4">
        <f>$O$25*((B110-$B$111)/($B$112/$B$111)+(1-$O$25)*((C110-$C$111)/($C$112-$C$111)))</f>
        <v>0.94318181818181845</v>
      </c>
      <c r="Q42" s="4">
        <f t="shared" si="8"/>
        <v>5</v>
      </c>
      <c r="R42" s="4" t="s">
        <v>18</v>
      </c>
    </row>
    <row r="44" spans="1:19">
      <c r="A44" t="s">
        <v>63</v>
      </c>
    </row>
    <row r="45" spans="1:19">
      <c r="A45" s="10" t="s">
        <v>53</v>
      </c>
      <c r="B45" s="10"/>
      <c r="C45" s="10"/>
      <c r="D45" s="10"/>
      <c r="E45" s="10"/>
      <c r="F45" s="10"/>
      <c r="G45" s="10"/>
    </row>
    <row r="46" spans="1:19">
      <c r="A46" s="9" t="s">
        <v>51</v>
      </c>
      <c r="B46" s="9" t="s">
        <v>52</v>
      </c>
      <c r="C46" s="9"/>
      <c r="D46" s="9"/>
      <c r="E46" s="9"/>
      <c r="F46" s="9"/>
      <c r="G46" s="9"/>
    </row>
    <row r="47" spans="1:19">
      <c r="A47" s="9"/>
      <c r="B47" s="4" t="str" cm="1">
        <f t="array" ref="B47:G47">TRANSPOSE(D2:D7)</f>
        <v>C1</v>
      </c>
      <c r="C47" s="4" t="str">
        <v>C2</v>
      </c>
      <c r="D47" s="4" t="str">
        <v>C3</v>
      </c>
      <c r="E47" s="4" t="str">
        <v>C4</v>
      </c>
      <c r="F47" s="4" t="str">
        <v>C5</v>
      </c>
      <c r="G47" s="4" t="str">
        <v>C6</v>
      </c>
    </row>
    <row r="48" spans="1:19">
      <c r="A48" s="4" t="str">
        <f>B2</f>
        <v>A1</v>
      </c>
      <c r="B48" s="4">
        <f>IF($B$66="benefit",((B25-MIN($B$25:$B$42)/(MAX($B$25:$B$42)-MIN($B$25:$B$42)))),((MAX($B$25:$B$42)-B25)/(MAX($B$25:$B$42)-MIN($B$25:$B$42))))</f>
        <v>19</v>
      </c>
      <c r="C48" s="4">
        <f t="shared" ref="C48:G48" si="9">IF($B$66="benefit",((C25-MIN($B$25:$B$42)/(MAX($B$25:$B$42)-MIN($B$25:$B$42)))),((MAX($B$25:$B$42)-C25)/(MAX($B$25:$B$42)-MIN($B$25:$B$42))))</f>
        <v>14</v>
      </c>
      <c r="D48" s="4">
        <f t="shared" si="9"/>
        <v>0</v>
      </c>
      <c r="E48" s="4">
        <f t="shared" si="9"/>
        <v>1</v>
      </c>
      <c r="F48" s="4">
        <f t="shared" si="9"/>
        <v>2</v>
      </c>
      <c r="G48" s="4">
        <f t="shared" si="9"/>
        <v>3</v>
      </c>
    </row>
    <row r="49" spans="1:7">
      <c r="A49" s="4" t="str">
        <f t="shared" ref="A49:A65" si="10">B3</f>
        <v>A2</v>
      </c>
      <c r="B49" s="4">
        <f t="shared" ref="B49:G65" si="11">IF($B$66="benefit",((B26-MIN($B$25:$B$42)/(MAX($B$25:$B$42)-MIN($B$25:$B$42)))),((MAX($B$25:$B$42)-B26)/(MAX($B$25:$B$42)-MIN($B$25:$B$42))))</f>
        <v>14</v>
      </c>
      <c r="C49" s="4">
        <f t="shared" si="11"/>
        <v>14</v>
      </c>
      <c r="D49" s="4">
        <f t="shared" si="11"/>
        <v>0</v>
      </c>
      <c r="E49" s="4">
        <f t="shared" si="11"/>
        <v>1</v>
      </c>
      <c r="F49" s="4">
        <f t="shared" si="11"/>
        <v>2</v>
      </c>
      <c r="G49" s="4">
        <f t="shared" si="11"/>
        <v>3</v>
      </c>
    </row>
    <row r="50" spans="1:7">
      <c r="A50" s="4" t="str">
        <f t="shared" si="10"/>
        <v>A3</v>
      </c>
      <c r="B50" s="4">
        <f t="shared" si="11"/>
        <v>19</v>
      </c>
      <c r="C50" s="4">
        <f t="shared" si="11"/>
        <v>14</v>
      </c>
      <c r="D50" s="4">
        <f t="shared" si="11"/>
        <v>-2</v>
      </c>
      <c r="E50" s="4">
        <f t="shared" si="11"/>
        <v>1</v>
      </c>
      <c r="F50" s="4">
        <f t="shared" si="11"/>
        <v>2</v>
      </c>
      <c r="G50" s="4">
        <f t="shared" si="11"/>
        <v>3</v>
      </c>
    </row>
    <row r="51" spans="1:7">
      <c r="A51" s="4" t="str">
        <f t="shared" si="10"/>
        <v>A4</v>
      </c>
      <c r="B51" s="4">
        <f t="shared" si="11"/>
        <v>9</v>
      </c>
      <c r="C51" s="4">
        <f t="shared" si="11"/>
        <v>9</v>
      </c>
      <c r="D51" s="4">
        <f t="shared" si="11"/>
        <v>0</v>
      </c>
      <c r="E51" s="4">
        <f t="shared" si="11"/>
        <v>1</v>
      </c>
      <c r="F51" s="4">
        <f t="shared" si="11"/>
        <v>2</v>
      </c>
      <c r="G51" s="4">
        <f t="shared" si="11"/>
        <v>3</v>
      </c>
    </row>
    <row r="52" spans="1:7">
      <c r="A52" s="4" t="str">
        <f t="shared" si="10"/>
        <v>A5</v>
      </c>
      <c r="B52" s="4">
        <f t="shared" si="11"/>
        <v>14</v>
      </c>
      <c r="C52" s="4">
        <f t="shared" si="11"/>
        <v>14</v>
      </c>
      <c r="D52" s="4">
        <f t="shared" si="11"/>
        <v>0</v>
      </c>
      <c r="E52" s="4">
        <f t="shared" si="11"/>
        <v>1</v>
      </c>
      <c r="F52" s="4">
        <f t="shared" si="11"/>
        <v>2</v>
      </c>
      <c r="G52" s="4">
        <f t="shared" si="11"/>
        <v>3</v>
      </c>
    </row>
    <row r="53" spans="1:7">
      <c r="A53" s="4" t="str">
        <f t="shared" si="10"/>
        <v>A6</v>
      </c>
      <c r="B53" s="4">
        <f t="shared" si="11"/>
        <v>19</v>
      </c>
      <c r="C53" s="4">
        <f t="shared" si="11"/>
        <v>19</v>
      </c>
      <c r="D53" s="4">
        <f t="shared" si="11"/>
        <v>0</v>
      </c>
      <c r="E53" s="4">
        <f t="shared" si="11"/>
        <v>1</v>
      </c>
      <c r="F53" s="4">
        <f t="shared" si="11"/>
        <v>2</v>
      </c>
      <c r="G53" s="4">
        <f t="shared" si="11"/>
        <v>3</v>
      </c>
    </row>
    <row r="54" spans="1:7">
      <c r="A54" s="4" t="str">
        <f t="shared" si="10"/>
        <v>A7</v>
      </c>
      <c r="B54" s="4">
        <f t="shared" si="11"/>
        <v>9</v>
      </c>
      <c r="C54" s="4">
        <f t="shared" si="11"/>
        <v>9</v>
      </c>
      <c r="D54" s="4">
        <f t="shared" si="11"/>
        <v>0</v>
      </c>
      <c r="E54" s="4">
        <f t="shared" si="11"/>
        <v>1</v>
      </c>
      <c r="F54" s="4">
        <f t="shared" si="11"/>
        <v>2</v>
      </c>
      <c r="G54" s="4">
        <f t="shared" si="11"/>
        <v>3</v>
      </c>
    </row>
    <row r="55" spans="1:7">
      <c r="A55" s="4" t="str">
        <f t="shared" si="10"/>
        <v>A8</v>
      </c>
      <c r="B55" s="4">
        <f t="shared" si="11"/>
        <v>19</v>
      </c>
      <c r="C55" s="4">
        <f t="shared" si="11"/>
        <v>14</v>
      </c>
      <c r="D55" s="4">
        <f t="shared" si="11"/>
        <v>0</v>
      </c>
      <c r="E55" s="4">
        <f t="shared" si="11"/>
        <v>1</v>
      </c>
      <c r="F55" s="4">
        <f t="shared" si="11"/>
        <v>2</v>
      </c>
      <c r="G55" s="4">
        <f t="shared" si="11"/>
        <v>2</v>
      </c>
    </row>
    <row r="56" spans="1:7">
      <c r="A56" s="4" t="str">
        <f t="shared" si="10"/>
        <v>A9</v>
      </c>
      <c r="B56" s="4">
        <f t="shared" si="11"/>
        <v>19</v>
      </c>
      <c r="C56" s="4">
        <f t="shared" si="11"/>
        <v>14</v>
      </c>
      <c r="D56" s="4">
        <f t="shared" si="11"/>
        <v>0</v>
      </c>
      <c r="E56" s="4">
        <f t="shared" si="11"/>
        <v>1</v>
      </c>
      <c r="F56" s="4">
        <f t="shared" si="11"/>
        <v>2</v>
      </c>
      <c r="G56" s="4">
        <f t="shared" si="11"/>
        <v>3</v>
      </c>
    </row>
    <row r="57" spans="1:7">
      <c r="A57" s="4" t="str">
        <f t="shared" si="10"/>
        <v>A10</v>
      </c>
      <c r="B57" s="4">
        <f t="shared" si="11"/>
        <v>19</v>
      </c>
      <c r="C57" s="4">
        <f t="shared" si="11"/>
        <v>9</v>
      </c>
      <c r="D57" s="4">
        <f t="shared" si="11"/>
        <v>0</v>
      </c>
      <c r="E57" s="4">
        <f t="shared" si="11"/>
        <v>1</v>
      </c>
      <c r="F57" s="4">
        <f t="shared" si="11"/>
        <v>2</v>
      </c>
      <c r="G57" s="4">
        <f t="shared" si="11"/>
        <v>3</v>
      </c>
    </row>
    <row r="58" spans="1:7">
      <c r="A58" s="4" t="str">
        <f t="shared" si="10"/>
        <v>A11</v>
      </c>
      <c r="B58" s="4">
        <f>IF($B$66="benefit",((B35-MIN($B$25:$B$42)/(MAX($B$25:$B$42)-MIN($B$25:$B$42)))),((MAX($B$25:$B$42)-B35)/(MAX($B$25:$B$42)-MIN($B$25:$B$42))))</f>
        <v>19</v>
      </c>
      <c r="C58" s="4">
        <f t="shared" ref="C58:G58" si="12">IF($B$66="benefit",((C35-MIN($B$25:$B$42)/(MAX($B$25:$B$42)-MIN($B$25:$B$42)))),((MAX($B$25:$B$42)-C35)/(MAX($B$25:$B$42)-MIN($B$25:$B$42))))</f>
        <v>14</v>
      </c>
      <c r="D58" s="4">
        <f t="shared" si="12"/>
        <v>0</v>
      </c>
      <c r="E58" s="4">
        <f t="shared" si="12"/>
        <v>1</v>
      </c>
      <c r="F58" s="4">
        <f t="shared" si="12"/>
        <v>2</v>
      </c>
      <c r="G58" s="4">
        <f t="shared" si="12"/>
        <v>3</v>
      </c>
    </row>
    <row r="59" spans="1:7">
      <c r="A59" s="4" t="str">
        <f t="shared" si="10"/>
        <v>A12</v>
      </c>
      <c r="B59" s="4">
        <f t="shared" si="11"/>
        <v>19</v>
      </c>
      <c r="C59" s="4">
        <f t="shared" si="11"/>
        <v>9</v>
      </c>
      <c r="D59" s="4">
        <f t="shared" si="11"/>
        <v>0</v>
      </c>
      <c r="E59" s="4">
        <f t="shared" si="11"/>
        <v>1</v>
      </c>
      <c r="F59" s="4">
        <f t="shared" si="11"/>
        <v>2</v>
      </c>
      <c r="G59" s="4">
        <f t="shared" si="11"/>
        <v>3</v>
      </c>
    </row>
    <row r="60" spans="1:7">
      <c r="A60" s="4" t="str">
        <f t="shared" si="10"/>
        <v>A13</v>
      </c>
      <c r="B60" s="4">
        <f t="shared" si="11"/>
        <v>19</v>
      </c>
      <c r="C60" s="4">
        <f t="shared" si="11"/>
        <v>14</v>
      </c>
      <c r="D60" s="4">
        <f t="shared" si="11"/>
        <v>0</v>
      </c>
      <c r="E60" s="4">
        <f t="shared" si="11"/>
        <v>1</v>
      </c>
      <c r="F60" s="4">
        <f t="shared" si="11"/>
        <v>2</v>
      </c>
      <c r="G60" s="4">
        <f t="shared" si="11"/>
        <v>3</v>
      </c>
    </row>
    <row r="61" spans="1:7">
      <c r="A61" s="4" t="str">
        <f t="shared" si="10"/>
        <v>A14</v>
      </c>
      <c r="B61" s="4">
        <f t="shared" si="11"/>
        <v>19</v>
      </c>
      <c r="C61" s="4">
        <f t="shared" si="11"/>
        <v>9</v>
      </c>
      <c r="D61" s="4">
        <f t="shared" si="11"/>
        <v>0</v>
      </c>
      <c r="E61" s="4">
        <f t="shared" si="11"/>
        <v>1</v>
      </c>
      <c r="F61" s="4">
        <f t="shared" si="11"/>
        <v>2</v>
      </c>
      <c r="G61" s="4">
        <f t="shared" si="11"/>
        <v>3</v>
      </c>
    </row>
    <row r="62" spans="1:7">
      <c r="A62" s="4" t="str">
        <f>B16</f>
        <v>A15</v>
      </c>
      <c r="B62" s="4">
        <f t="shared" si="11"/>
        <v>9</v>
      </c>
      <c r="C62" s="4">
        <f t="shared" si="11"/>
        <v>9</v>
      </c>
      <c r="D62" s="4">
        <f t="shared" si="11"/>
        <v>0</v>
      </c>
      <c r="E62" s="4">
        <f t="shared" si="11"/>
        <v>1</v>
      </c>
      <c r="F62" s="4">
        <f t="shared" si="11"/>
        <v>2</v>
      </c>
      <c r="G62" s="4">
        <f t="shared" si="11"/>
        <v>3</v>
      </c>
    </row>
    <row r="63" spans="1:7">
      <c r="A63" s="4" t="str">
        <f t="shared" si="10"/>
        <v>A16</v>
      </c>
      <c r="B63" s="4">
        <f t="shared" si="11"/>
        <v>19</v>
      </c>
      <c r="C63" s="4">
        <f t="shared" si="11"/>
        <v>19</v>
      </c>
      <c r="D63" s="4">
        <f t="shared" si="11"/>
        <v>0</v>
      </c>
      <c r="E63" s="4">
        <f t="shared" si="11"/>
        <v>1</v>
      </c>
      <c r="F63" s="4">
        <f t="shared" si="11"/>
        <v>2</v>
      </c>
      <c r="G63" s="4">
        <f t="shared" si="11"/>
        <v>3</v>
      </c>
    </row>
    <row r="64" spans="1:7">
      <c r="A64" s="4" t="str">
        <f t="shared" si="10"/>
        <v>A17</v>
      </c>
      <c r="B64" s="4">
        <f t="shared" si="11"/>
        <v>19</v>
      </c>
      <c r="C64" s="4">
        <f t="shared" si="11"/>
        <v>14</v>
      </c>
      <c r="D64" s="4">
        <f t="shared" si="11"/>
        <v>0</v>
      </c>
      <c r="E64" s="4">
        <f t="shared" si="11"/>
        <v>1</v>
      </c>
      <c r="F64" s="4">
        <f t="shared" si="11"/>
        <v>2</v>
      </c>
      <c r="G64" s="4">
        <f t="shared" si="11"/>
        <v>3</v>
      </c>
    </row>
    <row r="65" spans="1:9">
      <c r="A65" s="4" t="str">
        <f t="shared" si="10"/>
        <v>A18</v>
      </c>
      <c r="B65" s="4">
        <f t="shared" si="11"/>
        <v>14</v>
      </c>
      <c r="C65" s="4">
        <f t="shared" si="11"/>
        <v>14</v>
      </c>
      <c r="D65" s="4">
        <f t="shared" si="11"/>
        <v>0</v>
      </c>
      <c r="E65" s="4">
        <f t="shared" si="11"/>
        <v>1</v>
      </c>
      <c r="F65" s="4">
        <f t="shared" si="11"/>
        <v>2</v>
      </c>
      <c r="G65" s="4">
        <f t="shared" si="11"/>
        <v>3</v>
      </c>
    </row>
    <row r="66" spans="1:9">
      <c r="A66" s="4" t="s">
        <v>47</v>
      </c>
      <c r="B66" s="4" t="str" cm="1">
        <f t="array" ref="B66:G66">TRANSPOSE(F2:F7)</f>
        <v>benefit</v>
      </c>
      <c r="C66" s="4" t="str">
        <v>benefit</v>
      </c>
      <c r="D66" s="4" t="str">
        <v>cost</v>
      </c>
      <c r="E66" s="4" t="str">
        <v>cost</v>
      </c>
      <c r="F66" s="4" t="str">
        <v>cost</v>
      </c>
      <c r="G66" s="4" t="str">
        <v>cost</v>
      </c>
    </row>
    <row r="67" spans="1:9">
      <c r="A67" s="12"/>
      <c r="B67" s="12"/>
      <c r="C67" s="12"/>
      <c r="D67" s="12"/>
      <c r="E67" s="12"/>
      <c r="F67" s="12"/>
      <c r="G67" s="12"/>
    </row>
    <row r="68" spans="1:9">
      <c r="A68" t="s">
        <v>64</v>
      </c>
    </row>
    <row r="69" spans="1:9">
      <c r="A69" s="11" t="s">
        <v>54</v>
      </c>
      <c r="B69" s="11"/>
      <c r="C69" s="11"/>
      <c r="D69" s="11"/>
      <c r="E69" s="11"/>
      <c r="F69" s="11"/>
      <c r="G69" s="11"/>
      <c r="H69" s="11"/>
      <c r="I69" s="11"/>
    </row>
    <row r="70" spans="1:9">
      <c r="A70" s="14" t="s">
        <v>51</v>
      </c>
      <c r="B70" s="16" t="s">
        <v>52</v>
      </c>
      <c r="C70" s="17"/>
      <c r="D70" s="17"/>
      <c r="E70" s="17"/>
      <c r="F70" s="17"/>
      <c r="G70" s="18"/>
      <c r="H70" s="14" t="s">
        <v>55</v>
      </c>
      <c r="I70" s="14" t="s">
        <v>56</v>
      </c>
    </row>
    <row r="71" spans="1:9">
      <c r="A71" s="15"/>
      <c r="B71" s="4" t="str" cm="1">
        <f t="array" ref="B71:G71">TRANSPOSE(D2:D7)</f>
        <v>C1</v>
      </c>
      <c r="C71" s="4" t="str">
        <v>C2</v>
      </c>
      <c r="D71" s="4" t="str">
        <v>C3</v>
      </c>
      <c r="E71" s="4" t="str">
        <v>C4</v>
      </c>
      <c r="F71" s="4" t="str">
        <v>C5</v>
      </c>
      <c r="G71" s="4" t="str">
        <v>C6</v>
      </c>
      <c r="H71" s="15"/>
      <c r="I71" s="15"/>
    </row>
    <row r="72" spans="1:9">
      <c r="A72" s="4" t="str">
        <f>B2</f>
        <v>A1</v>
      </c>
      <c r="B72" s="4">
        <f>$B$90*B48</f>
        <v>5.7</v>
      </c>
      <c r="C72" s="4">
        <f>$B$90*C48</f>
        <v>4.2</v>
      </c>
      <c r="D72" s="4">
        <f>$B$90*D48</f>
        <v>0</v>
      </c>
      <c r="E72" s="4">
        <f>$B$90*E48</f>
        <v>0.3</v>
      </c>
      <c r="F72" s="4">
        <f>$B$90*F48</f>
        <v>0.6</v>
      </c>
      <c r="G72" s="4">
        <f>$B$90*G48</f>
        <v>0.89999999999999991</v>
      </c>
      <c r="H72" s="4">
        <f>SUM(B72:G72)</f>
        <v>11.700000000000001</v>
      </c>
      <c r="I72" s="4">
        <f>MAX(B72:G72)</f>
        <v>5.7</v>
      </c>
    </row>
    <row r="73" spans="1:9">
      <c r="A73" s="4" t="str">
        <f>B3</f>
        <v>A2</v>
      </c>
      <c r="B73" s="4">
        <f>$B$90*B49</f>
        <v>4.2</v>
      </c>
      <c r="C73" s="4">
        <f>$B$90*C49</f>
        <v>4.2</v>
      </c>
      <c r="D73" s="4">
        <f>$B$90*D49</f>
        <v>0</v>
      </c>
      <c r="E73" s="4">
        <f>$B$90*E49</f>
        <v>0.3</v>
      </c>
      <c r="F73" s="4">
        <f>$B$90*F49</f>
        <v>0.6</v>
      </c>
      <c r="G73" s="4">
        <f>$B$90*G49</f>
        <v>0.89999999999999991</v>
      </c>
      <c r="H73" s="4">
        <f t="shared" ref="H73:H89" si="13">SUM(B73:G73)</f>
        <v>10.200000000000001</v>
      </c>
      <c r="I73" s="4">
        <f t="shared" ref="I73:I89" si="14">MAX(B73:G73)</f>
        <v>4.2</v>
      </c>
    </row>
    <row r="74" spans="1:9">
      <c r="A74" s="4" t="str">
        <f>B4</f>
        <v>A3</v>
      </c>
      <c r="B74" s="4">
        <f>$B$90*B50</f>
        <v>5.7</v>
      </c>
      <c r="C74" s="4">
        <f>$B$90*C50</f>
        <v>4.2</v>
      </c>
      <c r="D74" s="4">
        <f>$B$90*D50</f>
        <v>-0.6</v>
      </c>
      <c r="E74" s="4">
        <f>$B$90*E50</f>
        <v>0.3</v>
      </c>
      <c r="F74" s="4">
        <f>$B$90*F50</f>
        <v>0.6</v>
      </c>
      <c r="G74" s="4">
        <f>$B$90*G50</f>
        <v>0.89999999999999991</v>
      </c>
      <c r="H74" s="4">
        <f t="shared" si="13"/>
        <v>11.100000000000001</v>
      </c>
      <c r="I74" s="4">
        <f t="shared" si="14"/>
        <v>5.7</v>
      </c>
    </row>
    <row r="75" spans="1:9">
      <c r="A75" s="4" t="str">
        <f>B5</f>
        <v>A4</v>
      </c>
      <c r="B75" s="4">
        <f>$B$90*B51</f>
        <v>2.6999999999999997</v>
      </c>
      <c r="C75" s="4">
        <f>$B$90*C51</f>
        <v>2.6999999999999997</v>
      </c>
      <c r="D75" s="4">
        <f>$B$90*D51</f>
        <v>0</v>
      </c>
      <c r="E75" s="4">
        <f>$B$90*E51</f>
        <v>0.3</v>
      </c>
      <c r="F75" s="4">
        <f>$B$90*F51</f>
        <v>0.6</v>
      </c>
      <c r="G75" s="4">
        <f>$B$90*G51</f>
        <v>0.89999999999999991</v>
      </c>
      <c r="H75" s="4">
        <f t="shared" si="13"/>
        <v>7.1999999999999993</v>
      </c>
      <c r="I75" s="4">
        <f t="shared" si="14"/>
        <v>2.6999999999999997</v>
      </c>
    </row>
    <row r="76" spans="1:9">
      <c r="A76" s="4" t="str">
        <f>B6</f>
        <v>A5</v>
      </c>
      <c r="B76" s="4">
        <f>$B$90*B52</f>
        <v>4.2</v>
      </c>
      <c r="C76" s="4">
        <f>$B$90*C52</f>
        <v>4.2</v>
      </c>
      <c r="D76" s="4">
        <f>$B$90*D52</f>
        <v>0</v>
      </c>
      <c r="E76" s="4">
        <f>$B$90*E52</f>
        <v>0.3</v>
      </c>
      <c r="F76" s="4">
        <f>$B$90*F52</f>
        <v>0.6</v>
      </c>
      <c r="G76" s="4">
        <f>$B$90*G52</f>
        <v>0.89999999999999991</v>
      </c>
      <c r="H76" s="4">
        <f t="shared" si="13"/>
        <v>10.200000000000001</v>
      </c>
      <c r="I76" s="4">
        <f t="shared" si="14"/>
        <v>4.2</v>
      </c>
    </row>
    <row r="77" spans="1:9">
      <c r="A77" s="4" t="str">
        <f>B7</f>
        <v>A6</v>
      </c>
      <c r="B77" s="4">
        <f>$B$90*B53</f>
        <v>5.7</v>
      </c>
      <c r="C77" s="4">
        <f>$B$90*C53</f>
        <v>5.7</v>
      </c>
      <c r="D77" s="4">
        <f>$B$90*D53</f>
        <v>0</v>
      </c>
      <c r="E77" s="4">
        <f>$B$90*E53</f>
        <v>0.3</v>
      </c>
      <c r="F77" s="4">
        <f>$B$90*F53</f>
        <v>0.6</v>
      </c>
      <c r="G77" s="4">
        <f>$B$90*G53</f>
        <v>0.89999999999999991</v>
      </c>
      <c r="H77" s="4">
        <f t="shared" si="13"/>
        <v>13.200000000000001</v>
      </c>
      <c r="I77" s="4">
        <f t="shared" si="14"/>
        <v>5.7</v>
      </c>
    </row>
    <row r="78" spans="1:9">
      <c r="A78" s="4" t="str">
        <f>B8</f>
        <v>A7</v>
      </c>
      <c r="B78" s="4">
        <f>$B$90*B54</f>
        <v>2.6999999999999997</v>
      </c>
      <c r="C78" s="4">
        <f>$B$90*C54</f>
        <v>2.6999999999999997</v>
      </c>
      <c r="D78" s="4">
        <f>$B$90*D54</f>
        <v>0</v>
      </c>
      <c r="E78" s="4">
        <f>$B$90*E54</f>
        <v>0.3</v>
      </c>
      <c r="F78" s="4">
        <f>$B$90*F54</f>
        <v>0.6</v>
      </c>
      <c r="G78" s="4">
        <f>$B$90*G54</f>
        <v>0.89999999999999991</v>
      </c>
      <c r="H78" s="4">
        <f t="shared" si="13"/>
        <v>7.1999999999999993</v>
      </c>
      <c r="I78" s="4">
        <f t="shared" si="14"/>
        <v>2.6999999999999997</v>
      </c>
    </row>
    <row r="79" spans="1:9">
      <c r="A79" s="4" t="str">
        <f>B9</f>
        <v>A8</v>
      </c>
      <c r="B79" s="4">
        <f>$B$90*B55</f>
        <v>5.7</v>
      </c>
      <c r="C79" s="4">
        <f>$B$90*C55</f>
        <v>4.2</v>
      </c>
      <c r="D79" s="4">
        <f>$B$90*D55</f>
        <v>0</v>
      </c>
      <c r="E79" s="4">
        <f>$B$90*E55</f>
        <v>0.3</v>
      </c>
      <c r="F79" s="4">
        <f>$B$90*F55</f>
        <v>0.6</v>
      </c>
      <c r="G79" s="4">
        <f>$B$90*G55</f>
        <v>0.6</v>
      </c>
      <c r="H79" s="4">
        <f t="shared" si="13"/>
        <v>11.4</v>
      </c>
      <c r="I79" s="4">
        <f t="shared" si="14"/>
        <v>5.7</v>
      </c>
    </row>
    <row r="80" spans="1:9">
      <c r="A80" s="4" t="str">
        <f>B10</f>
        <v>A9</v>
      </c>
      <c r="B80" s="4">
        <f>$B$90*B56</f>
        <v>5.7</v>
      </c>
      <c r="C80" s="4">
        <f>$B$90*C56</f>
        <v>4.2</v>
      </c>
      <c r="D80" s="4">
        <f>$B$90*D56</f>
        <v>0</v>
      </c>
      <c r="E80" s="4">
        <f>$B$90*E56</f>
        <v>0.3</v>
      </c>
      <c r="F80" s="4">
        <f>$B$90*F56</f>
        <v>0.6</v>
      </c>
      <c r="G80" s="4">
        <f>$B$90*G56</f>
        <v>0.89999999999999991</v>
      </c>
      <c r="H80" s="4">
        <f t="shared" si="13"/>
        <v>11.700000000000001</v>
      </c>
      <c r="I80" s="4">
        <f t="shared" si="14"/>
        <v>5.7</v>
      </c>
    </row>
    <row r="81" spans="1:9">
      <c r="A81" s="4" t="str">
        <f>B11</f>
        <v>A10</v>
      </c>
      <c r="B81" s="4">
        <f>$B$90*B57</f>
        <v>5.7</v>
      </c>
      <c r="C81" s="4">
        <f>$B$90*C57</f>
        <v>2.6999999999999997</v>
      </c>
      <c r="D81" s="4">
        <f>$B$90*D57</f>
        <v>0</v>
      </c>
      <c r="E81" s="4">
        <f>$B$90*E57</f>
        <v>0.3</v>
      </c>
      <c r="F81" s="4">
        <f>$B$90*F57</f>
        <v>0.6</v>
      </c>
      <c r="G81" s="4">
        <f>$B$90*G57</f>
        <v>0.89999999999999991</v>
      </c>
      <c r="H81" s="4">
        <f t="shared" si="13"/>
        <v>10.200000000000001</v>
      </c>
      <c r="I81" s="4">
        <f t="shared" si="14"/>
        <v>5.7</v>
      </c>
    </row>
    <row r="82" spans="1:9">
      <c r="A82" s="4" t="str">
        <f>B12</f>
        <v>A11</v>
      </c>
      <c r="B82" s="4">
        <f>$B$90*B58</f>
        <v>5.7</v>
      </c>
      <c r="C82" s="4">
        <f>$B$90*C58</f>
        <v>4.2</v>
      </c>
      <c r="D82" s="4">
        <f>$B$90*D58</f>
        <v>0</v>
      </c>
      <c r="E82" s="4">
        <f>$B$90*E58</f>
        <v>0.3</v>
      </c>
      <c r="F82" s="4">
        <f>$B$90*F58</f>
        <v>0.6</v>
      </c>
      <c r="G82" s="4">
        <f>$B$90*G58</f>
        <v>0.89999999999999991</v>
      </c>
      <c r="H82" s="4">
        <f t="shared" si="13"/>
        <v>11.700000000000001</v>
      </c>
      <c r="I82" s="4">
        <f t="shared" si="14"/>
        <v>5.7</v>
      </c>
    </row>
    <row r="83" spans="1:9">
      <c r="A83" s="4" t="str">
        <f>B13</f>
        <v>A12</v>
      </c>
      <c r="B83" s="4">
        <f>$B$90*B59</f>
        <v>5.7</v>
      </c>
      <c r="C83" s="4">
        <f>$B$90*C59</f>
        <v>2.6999999999999997</v>
      </c>
      <c r="D83" s="4">
        <f>$B$90*D59</f>
        <v>0</v>
      </c>
      <c r="E83" s="4">
        <f>$B$90*E59</f>
        <v>0.3</v>
      </c>
      <c r="F83" s="4">
        <f>$B$90*F59</f>
        <v>0.6</v>
      </c>
      <c r="G83" s="4">
        <f>$B$90*G59</f>
        <v>0.89999999999999991</v>
      </c>
      <c r="H83" s="4">
        <f t="shared" si="13"/>
        <v>10.200000000000001</v>
      </c>
      <c r="I83" s="4">
        <f t="shared" si="14"/>
        <v>5.7</v>
      </c>
    </row>
    <row r="84" spans="1:9">
      <c r="A84" s="4" t="str">
        <f>B14</f>
        <v>A13</v>
      </c>
      <c r="B84" s="4">
        <f>$B$90*B60</f>
        <v>5.7</v>
      </c>
      <c r="C84" s="4">
        <f>$B$90*C60</f>
        <v>4.2</v>
      </c>
      <c r="D84" s="4">
        <f>$B$90*D60</f>
        <v>0</v>
      </c>
      <c r="E84" s="4">
        <f>$B$90*E60</f>
        <v>0.3</v>
      </c>
      <c r="F84" s="4">
        <f>$B$90*F60</f>
        <v>0.6</v>
      </c>
      <c r="G84" s="4">
        <f>$B$90*G60</f>
        <v>0.89999999999999991</v>
      </c>
      <c r="H84" s="4">
        <f t="shared" si="13"/>
        <v>11.700000000000001</v>
      </c>
      <c r="I84" s="4">
        <f t="shared" si="14"/>
        <v>5.7</v>
      </c>
    </row>
    <row r="85" spans="1:9">
      <c r="A85" s="4" t="str">
        <f>B15</f>
        <v>A14</v>
      </c>
      <c r="B85" s="4">
        <f>$B$90*B61</f>
        <v>5.7</v>
      </c>
      <c r="C85" s="4">
        <f>$B$90*C61</f>
        <v>2.6999999999999997</v>
      </c>
      <c r="D85" s="4">
        <f>$B$90*D61</f>
        <v>0</v>
      </c>
      <c r="E85" s="4">
        <f>$B$90*E61</f>
        <v>0.3</v>
      </c>
      <c r="F85" s="4">
        <f>$B$90*F61</f>
        <v>0.6</v>
      </c>
      <c r="G85" s="4">
        <f>$B$90*G61</f>
        <v>0.89999999999999991</v>
      </c>
      <c r="H85" s="4">
        <f t="shared" si="13"/>
        <v>10.200000000000001</v>
      </c>
      <c r="I85" s="4">
        <f t="shared" si="14"/>
        <v>5.7</v>
      </c>
    </row>
    <row r="86" spans="1:9">
      <c r="A86" s="4" t="str">
        <f>B16</f>
        <v>A15</v>
      </c>
      <c r="B86" s="4">
        <f>$B$90*B62</f>
        <v>2.6999999999999997</v>
      </c>
      <c r="C86" s="4">
        <f>$B$90*C62</f>
        <v>2.6999999999999997</v>
      </c>
      <c r="D86" s="4">
        <f>$B$90*D62</f>
        <v>0</v>
      </c>
      <c r="E86" s="4">
        <f>$B$90*E62</f>
        <v>0.3</v>
      </c>
      <c r="F86" s="4">
        <f>$B$90*F62</f>
        <v>0.6</v>
      </c>
      <c r="G86" s="4">
        <f>$B$90*G62</f>
        <v>0.89999999999999991</v>
      </c>
      <c r="H86" s="4">
        <f t="shared" si="13"/>
        <v>7.1999999999999993</v>
      </c>
      <c r="I86" s="4">
        <f t="shared" si="14"/>
        <v>2.6999999999999997</v>
      </c>
    </row>
    <row r="87" spans="1:9">
      <c r="A87" s="4" t="str">
        <f>B17</f>
        <v>A16</v>
      </c>
      <c r="B87" s="4">
        <f>$B$90*B63</f>
        <v>5.7</v>
      </c>
      <c r="C87" s="4">
        <f>$B$90*C63</f>
        <v>5.7</v>
      </c>
      <c r="D87" s="4">
        <f>$B$90*D63</f>
        <v>0</v>
      </c>
      <c r="E87" s="4">
        <f>$B$90*E63</f>
        <v>0.3</v>
      </c>
      <c r="F87" s="4">
        <f>$B$90*F63</f>
        <v>0.6</v>
      </c>
      <c r="G87" s="4">
        <f>$B$90*G63</f>
        <v>0.89999999999999991</v>
      </c>
      <c r="H87" s="4">
        <f t="shared" si="13"/>
        <v>13.200000000000001</v>
      </c>
      <c r="I87" s="4">
        <f t="shared" si="14"/>
        <v>5.7</v>
      </c>
    </row>
    <row r="88" spans="1:9">
      <c r="A88" s="4" t="str">
        <f>B18</f>
        <v>A17</v>
      </c>
      <c r="B88" s="4">
        <f>$B$90*B64</f>
        <v>5.7</v>
      </c>
      <c r="C88" s="4">
        <f>$B$90*C64</f>
        <v>4.2</v>
      </c>
      <c r="D88" s="4">
        <f>$B$90*D64</f>
        <v>0</v>
      </c>
      <c r="E88" s="4">
        <f>$B$90*E64</f>
        <v>0.3</v>
      </c>
      <c r="F88" s="4">
        <f>$B$90*F64</f>
        <v>0.6</v>
      </c>
      <c r="G88" s="4">
        <f>$B$90*G64</f>
        <v>0.89999999999999991</v>
      </c>
      <c r="H88" s="4">
        <f t="shared" si="13"/>
        <v>11.700000000000001</v>
      </c>
      <c r="I88" s="4">
        <f t="shared" si="14"/>
        <v>5.7</v>
      </c>
    </row>
    <row r="89" spans="1:9">
      <c r="A89" s="4" t="str">
        <f>B19</f>
        <v>A18</v>
      </c>
      <c r="B89" s="4">
        <f>$B$90*B65</f>
        <v>4.2</v>
      </c>
      <c r="C89" s="4">
        <f>$B$90*C65</f>
        <v>4.2</v>
      </c>
      <c r="D89" s="4">
        <f>$B$90*D65</f>
        <v>0</v>
      </c>
      <c r="E89" s="4">
        <f>$B$90*E65</f>
        <v>0.3</v>
      </c>
      <c r="F89" s="4">
        <f>$B$90*F65</f>
        <v>0.6</v>
      </c>
      <c r="G89" s="4">
        <f>$B$90*G65</f>
        <v>0.89999999999999991</v>
      </c>
      <c r="H89" s="4">
        <f t="shared" si="13"/>
        <v>10.200000000000001</v>
      </c>
      <c r="I89" s="4">
        <f t="shared" si="14"/>
        <v>4.2</v>
      </c>
    </row>
    <row r="90" spans="1:9">
      <c r="A90" s="6" t="s">
        <v>46</v>
      </c>
      <c r="B90" s="6" cm="1">
        <f t="array" ref="B90:G90">TRANSPOSE(E2:E7)</f>
        <v>0.3</v>
      </c>
      <c r="C90" s="6">
        <v>0.3</v>
      </c>
      <c r="D90" s="6">
        <v>0.1</v>
      </c>
      <c r="E90" s="6">
        <v>0.1</v>
      </c>
      <c r="F90" s="6">
        <v>0.1</v>
      </c>
      <c r="G90" s="6">
        <v>0.1</v>
      </c>
      <c r="H90" s="6"/>
      <c r="I90" s="6"/>
    </row>
    <row r="92" spans="1:9">
      <c r="A92" s="4" t="s">
        <v>51</v>
      </c>
      <c r="B92" s="4" t="s">
        <v>55</v>
      </c>
      <c r="C92" s="4" t="s">
        <v>56</v>
      </c>
      <c r="D92" s="13" t="s">
        <v>65</v>
      </c>
    </row>
    <row r="93" spans="1:9">
      <c r="A93" s="4" t="str">
        <f>B2</f>
        <v>A1</v>
      </c>
      <c r="B93" s="4">
        <f t="shared" ref="B93:B110" si="15">H72</f>
        <v>11.700000000000001</v>
      </c>
      <c r="C93" s="4">
        <f t="shared" ref="C93:C110" si="16">I72</f>
        <v>5.7</v>
      </c>
    </row>
    <row r="94" spans="1:9">
      <c r="A94" s="4" t="str">
        <f>B3</f>
        <v>A2</v>
      </c>
      <c r="B94" s="4">
        <f t="shared" si="15"/>
        <v>10.200000000000001</v>
      </c>
      <c r="C94" s="4">
        <f t="shared" si="16"/>
        <v>4.2</v>
      </c>
      <c r="E94" s="12"/>
    </row>
    <row r="95" spans="1:9">
      <c r="A95" s="4" t="str">
        <f>B4</f>
        <v>A3</v>
      </c>
      <c r="B95" s="4">
        <f t="shared" si="15"/>
        <v>11.100000000000001</v>
      </c>
      <c r="C95" s="4">
        <f t="shared" si="16"/>
        <v>5.7</v>
      </c>
    </row>
    <row r="96" spans="1:9">
      <c r="A96" s="4" t="str">
        <f>B5</f>
        <v>A4</v>
      </c>
      <c r="B96" s="4">
        <f t="shared" si="15"/>
        <v>7.1999999999999993</v>
      </c>
      <c r="C96" s="4">
        <f t="shared" si="16"/>
        <v>2.6999999999999997</v>
      </c>
    </row>
    <row r="97" spans="1:3">
      <c r="A97" s="4" t="str">
        <f>B6</f>
        <v>A5</v>
      </c>
      <c r="B97" s="4">
        <f t="shared" si="15"/>
        <v>10.200000000000001</v>
      </c>
      <c r="C97" s="4">
        <f t="shared" si="16"/>
        <v>4.2</v>
      </c>
    </row>
    <row r="98" spans="1:3">
      <c r="A98" s="4" t="str">
        <f>B7</f>
        <v>A6</v>
      </c>
      <c r="B98" s="4">
        <f t="shared" si="15"/>
        <v>13.200000000000001</v>
      </c>
      <c r="C98" s="4">
        <f t="shared" si="16"/>
        <v>5.7</v>
      </c>
    </row>
    <row r="99" spans="1:3">
      <c r="A99" s="4" t="str">
        <f>B8</f>
        <v>A7</v>
      </c>
      <c r="B99" s="4">
        <f t="shared" si="15"/>
        <v>7.1999999999999993</v>
      </c>
      <c r="C99" s="4">
        <f t="shared" si="16"/>
        <v>2.6999999999999997</v>
      </c>
    </row>
    <row r="100" spans="1:3">
      <c r="A100" s="4" t="str">
        <f>B9</f>
        <v>A8</v>
      </c>
      <c r="B100" s="4">
        <f t="shared" si="15"/>
        <v>11.4</v>
      </c>
      <c r="C100" s="4">
        <f t="shared" si="16"/>
        <v>5.7</v>
      </c>
    </row>
    <row r="101" spans="1:3">
      <c r="A101" s="4" t="str">
        <f>B10</f>
        <v>A9</v>
      </c>
      <c r="B101" s="4">
        <f t="shared" si="15"/>
        <v>11.700000000000001</v>
      </c>
      <c r="C101" s="4">
        <f t="shared" si="16"/>
        <v>5.7</v>
      </c>
    </row>
    <row r="102" spans="1:3">
      <c r="A102" s="4" t="str">
        <f>B11</f>
        <v>A10</v>
      </c>
      <c r="B102" s="4">
        <f t="shared" si="15"/>
        <v>10.200000000000001</v>
      </c>
      <c r="C102" s="4">
        <f t="shared" si="16"/>
        <v>5.7</v>
      </c>
    </row>
    <row r="103" spans="1:3">
      <c r="A103" s="4" t="str">
        <f>B12</f>
        <v>A11</v>
      </c>
      <c r="B103" s="4">
        <f t="shared" si="15"/>
        <v>11.700000000000001</v>
      </c>
      <c r="C103" s="4">
        <f t="shared" si="16"/>
        <v>5.7</v>
      </c>
    </row>
    <row r="104" spans="1:3">
      <c r="A104" s="4" t="str">
        <f>B13</f>
        <v>A12</v>
      </c>
      <c r="B104" s="4">
        <f t="shared" si="15"/>
        <v>10.200000000000001</v>
      </c>
      <c r="C104" s="4">
        <f t="shared" si="16"/>
        <v>5.7</v>
      </c>
    </row>
    <row r="105" spans="1:3">
      <c r="A105" s="4" t="str">
        <f>B14</f>
        <v>A13</v>
      </c>
      <c r="B105" s="4">
        <f t="shared" si="15"/>
        <v>11.700000000000001</v>
      </c>
      <c r="C105" s="4">
        <f t="shared" si="16"/>
        <v>5.7</v>
      </c>
    </row>
    <row r="106" spans="1:3">
      <c r="A106" s="4" t="str">
        <f>B15</f>
        <v>A14</v>
      </c>
      <c r="B106" s="4">
        <f t="shared" si="15"/>
        <v>10.200000000000001</v>
      </c>
      <c r="C106" s="4">
        <f t="shared" si="16"/>
        <v>5.7</v>
      </c>
    </row>
    <row r="107" spans="1:3">
      <c r="A107" s="4" t="str">
        <f>B16</f>
        <v>A15</v>
      </c>
      <c r="B107" s="4">
        <f t="shared" si="15"/>
        <v>7.1999999999999993</v>
      </c>
      <c r="C107" s="4">
        <f t="shared" si="16"/>
        <v>2.6999999999999997</v>
      </c>
    </row>
    <row r="108" spans="1:3">
      <c r="A108" s="4" t="str">
        <f>B17</f>
        <v>A16</v>
      </c>
      <c r="B108" s="4">
        <f t="shared" si="15"/>
        <v>13.200000000000001</v>
      </c>
      <c r="C108" s="4">
        <f t="shared" si="16"/>
        <v>5.7</v>
      </c>
    </row>
    <row r="109" spans="1:3">
      <c r="A109" s="4" t="str">
        <f>B18</f>
        <v>A17</v>
      </c>
      <c r="B109" s="4">
        <f t="shared" si="15"/>
        <v>11.700000000000001</v>
      </c>
      <c r="C109" s="4">
        <f t="shared" si="16"/>
        <v>5.7</v>
      </c>
    </row>
    <row r="110" spans="1:3">
      <c r="A110" s="4" t="str">
        <f>B19</f>
        <v>A18</v>
      </c>
      <c r="B110" s="4">
        <f t="shared" si="15"/>
        <v>10.200000000000001</v>
      </c>
      <c r="C110" s="4">
        <f t="shared" si="16"/>
        <v>4.2</v>
      </c>
    </row>
    <row r="111" spans="1:3">
      <c r="A111" s="8" t="s">
        <v>57</v>
      </c>
      <c r="B111" s="8">
        <f>MIN(B93:B110)</f>
        <v>7.1999999999999993</v>
      </c>
      <c r="C111" s="8">
        <f>MIN(C93:C110)</f>
        <v>2.6999999999999997</v>
      </c>
    </row>
    <row r="112" spans="1:3">
      <c r="A112" s="7" t="s">
        <v>58</v>
      </c>
      <c r="B112" s="7">
        <f>MAX(B93:B110)</f>
        <v>13.200000000000001</v>
      </c>
      <c r="C112" s="7">
        <f>MAX(C93:C110)</f>
        <v>5.7</v>
      </c>
    </row>
  </sheetData>
  <mergeCells count="12">
    <mergeCell ref="A69:I69"/>
    <mergeCell ref="O25:O42"/>
    <mergeCell ref="A70:A71"/>
    <mergeCell ref="B70:G70"/>
    <mergeCell ref="H70:H71"/>
    <mergeCell ref="I70:I71"/>
    <mergeCell ref="B23:G23"/>
    <mergeCell ref="A22:G22"/>
    <mergeCell ref="A23:A24"/>
    <mergeCell ref="A45:G45"/>
    <mergeCell ref="A46:A47"/>
    <mergeCell ref="B46:G4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ramadhan</dc:creator>
  <cp:lastModifiedBy>muhammad ramadhan</cp:lastModifiedBy>
  <dcterms:created xsi:type="dcterms:W3CDTF">2025-06-17T11:56:27Z</dcterms:created>
  <dcterms:modified xsi:type="dcterms:W3CDTF">2025-06-19T03:54:27Z</dcterms:modified>
</cp:coreProperties>
</file>
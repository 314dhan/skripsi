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zon\tugas kuliah\Skripsi\NEW\pandas\"/>
    </mc:Choice>
  </mc:AlternateContent>
  <xr:revisionPtr revIDLastSave="0" documentId="8_{DE5912A9-6F1F-4DBE-B413-467073FC155E}" xr6:coauthVersionLast="47" xr6:coauthVersionMax="47" xr10:uidLastSave="{00000000-0000-0000-0000-000000000000}"/>
  <bookViews>
    <workbookView xWindow="14295" yWindow="0" windowWidth="14610" windowHeight="15585" xr2:uid="{7AC7E3B7-56EF-4555-8A58-276B1E0ADAB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9" i="1" l="1"/>
  <c r="G110" i="1"/>
  <c r="G111" i="1"/>
  <c r="G112" i="1"/>
  <c r="G113" i="1"/>
  <c r="G114" i="1"/>
  <c r="G115" i="1"/>
  <c r="G116" i="1"/>
  <c r="G117" i="1"/>
  <c r="G118" i="1"/>
  <c r="G120" i="1"/>
  <c r="G121" i="1"/>
  <c r="G122" i="1"/>
  <c r="G123" i="1"/>
  <c r="G124" i="1"/>
  <c r="G125" i="1"/>
  <c r="G126" i="1"/>
  <c r="G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09" i="1"/>
  <c r="G105" i="1"/>
  <c r="G106" i="1"/>
  <c r="F106" i="1"/>
  <c r="F105" i="1"/>
  <c r="G87" i="1" a="1"/>
  <c r="G87" i="1" s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8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6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47" i="1"/>
  <c r="F47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I30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6" i="1"/>
  <c r="L23" i="1"/>
  <c r="G24" i="1" s="1"/>
  <c r="I24" i="1" l="1"/>
  <c r="H24" i="1"/>
  <c r="F24" i="1"/>
  <c r="K24" i="1"/>
  <c r="J24" i="1"/>
  <c r="L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<sst xmlns="http://schemas.openxmlformats.org/spreadsheetml/2006/main" count="59" uniqueCount="40">
  <si>
    <t xml:space="preserve">Arjuna Reyhan Wibawa	</t>
  </si>
  <si>
    <t>Muhammad Dafa Alfaris</t>
  </si>
  <si>
    <t>Hikmah Dhika Nur Syafaatulloh</t>
  </si>
  <si>
    <t>Saiful Hidayat</t>
  </si>
  <si>
    <t>nama</t>
  </si>
  <si>
    <t>Rizki Andika Pratama</t>
  </si>
  <si>
    <t>Iqbal Al Rasyiig</t>
  </si>
  <si>
    <t>Muhamad Maulana Sawaludin</t>
  </si>
  <si>
    <t>Villaxandria Violensiera Virtous Vierosa Virginia</t>
  </si>
  <si>
    <t>no</t>
  </si>
  <si>
    <t>Crespo Marfandi Pratama</t>
  </si>
  <si>
    <t>Muhammad A'Azif Junaidi</t>
  </si>
  <si>
    <t>Julian Fahmi</t>
  </si>
  <si>
    <t>Firda Aulia</t>
  </si>
  <si>
    <t>Tantri Pramudita</t>
  </si>
  <si>
    <t>Firdaus Abdul Ghanny</t>
  </si>
  <si>
    <t>Sapta</t>
  </si>
  <si>
    <t>Jamaludin</t>
  </si>
  <si>
    <t>Indra Priatna</t>
  </si>
  <si>
    <t>Elviana</t>
  </si>
  <si>
    <t>alternatif</t>
  </si>
  <si>
    <t>kriteria</t>
  </si>
  <si>
    <t>a1 (30%)</t>
  </si>
  <si>
    <t>a2 (30%)</t>
  </si>
  <si>
    <t>a3 (10%)</t>
  </si>
  <si>
    <t>a4 (10%)</t>
  </si>
  <si>
    <t>a5 (10%)</t>
  </si>
  <si>
    <t>a6 (10%)</t>
  </si>
  <si>
    <t>bobot</t>
  </si>
  <si>
    <t>w=</t>
  </si>
  <si>
    <t>nilai S</t>
  </si>
  <si>
    <t>normalisasi</t>
  </si>
  <si>
    <t>sum</t>
  </si>
  <si>
    <t>menghitung nilai R</t>
  </si>
  <si>
    <t>menghitung nilai S</t>
  </si>
  <si>
    <t>nilai R</t>
  </si>
  <si>
    <t>min</t>
  </si>
  <si>
    <t>max</t>
  </si>
  <si>
    <t>nilai Q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</si>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</sst>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22D7-73A8-42C5-AAF1-40B85975C02E}">
  <dimension ref="D2:L126"/>
  <sheetViews>
    <sheetView tabSelected="1" zoomScale="83" workbookViewId="0">
      <selection activeCell="I115" sqref="I115"/>
    </sheetView>
  </sheetViews>
  <sheetFormatPr defaultRowHeight="15" x14ac:dyDescent="0.25"/>
  <cols>
    <col min="5" max="5" width="49.7109375" bestFit="1" customWidth="1"/>
  </cols>
  <sheetData>
    <row r="2" spans="4:11" x14ac:dyDescent="0.25">
      <c r="E2" t="s">
        <v>20</v>
      </c>
      <c r="F2" s="3" t="s">
        <v>21</v>
      </c>
      <c r="G2" s="3"/>
      <c r="H2" s="3"/>
      <c r="I2" s="3"/>
      <c r="J2" s="3"/>
      <c r="K2" s="3"/>
    </row>
    <row r="3" spans="4:11" x14ac:dyDescent="0.25">
      <c r="D3" s="2" t="s">
        <v>9</v>
      </c>
      <c r="E3" s="2" t="s">
        <v>4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4:11" x14ac:dyDescent="0.25">
      <c r="D4">
        <v>1</v>
      </c>
      <c r="E4" t="s">
        <v>0</v>
      </c>
      <c r="F4">
        <v>20</v>
      </c>
      <c r="G4">
        <v>15</v>
      </c>
      <c r="H4">
        <v>1</v>
      </c>
      <c r="I4">
        <v>2</v>
      </c>
      <c r="J4">
        <v>3</v>
      </c>
      <c r="K4">
        <v>4</v>
      </c>
    </row>
    <row r="5" spans="4:11" ht="20.25" customHeight="1" x14ac:dyDescent="0.3">
      <c r="D5">
        <v>2</v>
      </c>
      <c r="E5" s="1" t="s">
        <v>1</v>
      </c>
      <c r="F5">
        <v>15</v>
      </c>
      <c r="G5">
        <v>15</v>
      </c>
      <c r="H5">
        <v>1</v>
      </c>
      <c r="I5">
        <v>2</v>
      </c>
      <c r="J5">
        <v>3</v>
      </c>
      <c r="K5">
        <v>4</v>
      </c>
    </row>
    <row r="6" spans="4:11" ht="17.25" x14ac:dyDescent="0.3">
      <c r="D6">
        <v>3</v>
      </c>
      <c r="E6" s="1" t="s">
        <v>2</v>
      </c>
      <c r="F6">
        <v>20</v>
      </c>
      <c r="G6">
        <v>15</v>
      </c>
      <c r="H6">
        <v>-1</v>
      </c>
      <c r="I6">
        <v>2</v>
      </c>
      <c r="J6">
        <v>3</v>
      </c>
      <c r="K6">
        <v>4</v>
      </c>
    </row>
    <row r="7" spans="4:11" ht="17.25" x14ac:dyDescent="0.3">
      <c r="D7">
        <v>4</v>
      </c>
      <c r="E7" s="1" t="s">
        <v>3</v>
      </c>
      <c r="F7">
        <v>10</v>
      </c>
      <c r="G7">
        <v>10</v>
      </c>
      <c r="H7">
        <v>1</v>
      </c>
      <c r="I7">
        <v>2</v>
      </c>
      <c r="J7">
        <v>3</v>
      </c>
      <c r="K7">
        <v>4</v>
      </c>
    </row>
    <row r="8" spans="4:11" ht="17.25" x14ac:dyDescent="0.3">
      <c r="D8">
        <v>5</v>
      </c>
      <c r="E8" s="1" t="s">
        <v>5</v>
      </c>
      <c r="F8">
        <v>15</v>
      </c>
      <c r="G8">
        <v>15</v>
      </c>
      <c r="H8">
        <v>1</v>
      </c>
      <c r="I8">
        <v>2</v>
      </c>
      <c r="J8">
        <v>3</v>
      </c>
      <c r="K8">
        <v>4</v>
      </c>
    </row>
    <row r="9" spans="4:11" ht="17.25" x14ac:dyDescent="0.3">
      <c r="D9">
        <v>6</v>
      </c>
      <c r="E9" s="1" t="s">
        <v>6</v>
      </c>
      <c r="F9">
        <v>20</v>
      </c>
      <c r="G9">
        <v>20</v>
      </c>
      <c r="H9">
        <v>1</v>
      </c>
      <c r="I9">
        <v>2</v>
      </c>
      <c r="J9">
        <v>3</v>
      </c>
      <c r="K9">
        <v>4</v>
      </c>
    </row>
    <row r="10" spans="4:11" ht="17.25" x14ac:dyDescent="0.3">
      <c r="D10">
        <v>7</v>
      </c>
      <c r="E10" s="1" t="s">
        <v>7</v>
      </c>
      <c r="F10">
        <v>10</v>
      </c>
      <c r="G10">
        <v>10</v>
      </c>
      <c r="H10">
        <v>1</v>
      </c>
      <c r="I10">
        <v>2</v>
      </c>
      <c r="J10">
        <v>3</v>
      </c>
      <c r="K10">
        <v>4</v>
      </c>
    </row>
    <row r="11" spans="4:11" ht="17.25" x14ac:dyDescent="0.3">
      <c r="D11">
        <v>8</v>
      </c>
      <c r="E11" s="1" t="s">
        <v>8</v>
      </c>
      <c r="F11">
        <v>20</v>
      </c>
      <c r="G11">
        <v>15</v>
      </c>
      <c r="H11">
        <v>1</v>
      </c>
      <c r="I11">
        <v>2</v>
      </c>
      <c r="J11">
        <v>3</v>
      </c>
      <c r="K11">
        <v>4</v>
      </c>
    </row>
    <row r="12" spans="4:11" ht="17.25" x14ac:dyDescent="0.3">
      <c r="D12">
        <v>9</v>
      </c>
      <c r="E12" s="1" t="s">
        <v>10</v>
      </c>
      <c r="F12">
        <v>20</v>
      </c>
      <c r="G12">
        <v>15</v>
      </c>
      <c r="H12">
        <v>1</v>
      </c>
      <c r="I12">
        <v>2</v>
      </c>
      <c r="J12">
        <v>3</v>
      </c>
      <c r="K12">
        <v>4</v>
      </c>
    </row>
    <row r="13" spans="4:11" ht="17.25" x14ac:dyDescent="0.3">
      <c r="D13">
        <v>10</v>
      </c>
      <c r="E13" s="1" t="s">
        <v>11</v>
      </c>
      <c r="F13">
        <v>20</v>
      </c>
      <c r="G13">
        <v>10</v>
      </c>
      <c r="H13">
        <v>1</v>
      </c>
      <c r="I13">
        <v>2</v>
      </c>
      <c r="J13">
        <v>3</v>
      </c>
      <c r="K13">
        <v>4</v>
      </c>
    </row>
    <row r="14" spans="4:11" ht="17.25" x14ac:dyDescent="0.3">
      <c r="D14">
        <v>11</v>
      </c>
      <c r="E14" s="1" t="s">
        <v>12</v>
      </c>
      <c r="F14">
        <v>20</v>
      </c>
      <c r="G14">
        <v>15</v>
      </c>
      <c r="H14">
        <v>1</v>
      </c>
      <c r="I14">
        <v>2</v>
      </c>
      <c r="J14">
        <v>3</v>
      </c>
      <c r="K14">
        <v>4</v>
      </c>
    </row>
    <row r="15" spans="4:11" ht="17.25" x14ac:dyDescent="0.3">
      <c r="D15">
        <v>12</v>
      </c>
      <c r="E15" s="1" t="s">
        <v>13</v>
      </c>
      <c r="F15">
        <v>20</v>
      </c>
      <c r="G15">
        <v>10</v>
      </c>
      <c r="H15">
        <v>1</v>
      </c>
      <c r="I15">
        <v>2</v>
      </c>
      <c r="J15">
        <v>3</v>
      </c>
      <c r="K15">
        <v>4</v>
      </c>
    </row>
    <row r="16" spans="4:11" ht="17.25" x14ac:dyDescent="0.3">
      <c r="D16">
        <v>13</v>
      </c>
      <c r="E16" s="1" t="s">
        <v>14</v>
      </c>
      <c r="F16">
        <v>20</v>
      </c>
      <c r="G16">
        <v>15</v>
      </c>
      <c r="H16">
        <v>1</v>
      </c>
      <c r="I16">
        <v>2</v>
      </c>
      <c r="J16">
        <v>3</v>
      </c>
      <c r="K16">
        <v>4</v>
      </c>
    </row>
    <row r="17" spans="4:12" ht="17.25" x14ac:dyDescent="0.3">
      <c r="D17">
        <v>14</v>
      </c>
      <c r="E17" s="1" t="s">
        <v>15</v>
      </c>
      <c r="F17">
        <v>20</v>
      </c>
      <c r="G17">
        <v>10</v>
      </c>
      <c r="H17">
        <v>1</v>
      </c>
      <c r="I17">
        <v>2</v>
      </c>
      <c r="J17">
        <v>3</v>
      </c>
      <c r="K17">
        <v>4</v>
      </c>
    </row>
    <row r="18" spans="4:12" ht="17.25" x14ac:dyDescent="0.3">
      <c r="D18">
        <v>15</v>
      </c>
      <c r="E18" s="1" t="s">
        <v>16</v>
      </c>
      <c r="F18">
        <v>10</v>
      </c>
      <c r="G18">
        <v>10</v>
      </c>
      <c r="H18">
        <v>1</v>
      </c>
      <c r="I18">
        <v>2</v>
      </c>
      <c r="J18">
        <v>3</v>
      </c>
      <c r="K18">
        <v>4</v>
      </c>
    </row>
    <row r="19" spans="4:12" ht="17.25" x14ac:dyDescent="0.3">
      <c r="D19">
        <v>16</v>
      </c>
      <c r="E19" s="1" t="s">
        <v>17</v>
      </c>
      <c r="F19">
        <v>20</v>
      </c>
      <c r="G19">
        <v>20</v>
      </c>
      <c r="H19">
        <v>1</v>
      </c>
      <c r="I19">
        <v>2</v>
      </c>
      <c r="J19">
        <v>3</v>
      </c>
      <c r="K19">
        <v>4</v>
      </c>
    </row>
    <row r="20" spans="4:12" ht="17.25" x14ac:dyDescent="0.3">
      <c r="D20">
        <v>17</v>
      </c>
      <c r="E20" s="1" t="s">
        <v>18</v>
      </c>
      <c r="F20">
        <v>20</v>
      </c>
      <c r="G20">
        <v>15</v>
      </c>
      <c r="H20">
        <v>1</v>
      </c>
      <c r="I20">
        <v>2</v>
      </c>
      <c r="J20">
        <v>3</v>
      </c>
      <c r="K20">
        <v>4</v>
      </c>
    </row>
    <row r="21" spans="4:12" ht="17.25" x14ac:dyDescent="0.3">
      <c r="D21">
        <v>18</v>
      </c>
      <c r="E21" s="1" t="s">
        <v>19</v>
      </c>
      <c r="F21">
        <v>15</v>
      </c>
      <c r="G21">
        <v>15</v>
      </c>
      <c r="H21">
        <v>1</v>
      </c>
      <c r="I21">
        <v>2</v>
      </c>
      <c r="J21">
        <v>3</v>
      </c>
      <c r="K21">
        <v>4</v>
      </c>
    </row>
    <row r="23" spans="4:12" ht="17.25" x14ac:dyDescent="0.3">
      <c r="E23" s="1" t="s">
        <v>28</v>
      </c>
      <c r="F23">
        <v>0.4</v>
      </c>
      <c r="G23">
        <v>0.2</v>
      </c>
      <c r="H23">
        <v>0.1</v>
      </c>
      <c r="I23">
        <v>0.1</v>
      </c>
      <c r="J23">
        <v>0.1</v>
      </c>
      <c r="K23">
        <v>0.1</v>
      </c>
      <c r="L23">
        <f>SUM(F23:K23)</f>
        <v>1</v>
      </c>
    </row>
    <row r="24" spans="4:12" ht="17.25" x14ac:dyDescent="0.3">
      <c r="E24" s="1" t="s">
        <v>29</v>
      </c>
      <c r="F24">
        <f t="shared" ref="F24:K24" si="0">F23/$L$23</f>
        <v>0.4</v>
      </c>
      <c r="G24">
        <f t="shared" si="0"/>
        <v>0.2</v>
      </c>
      <c r="H24">
        <f t="shared" si="0"/>
        <v>0.1</v>
      </c>
      <c r="I24">
        <f t="shared" si="0"/>
        <v>0.1</v>
      </c>
      <c r="J24">
        <f t="shared" si="0"/>
        <v>0.1</v>
      </c>
      <c r="K24">
        <f t="shared" si="0"/>
        <v>0.1</v>
      </c>
      <c r="L24">
        <f>SUM(F24:K24)</f>
        <v>1</v>
      </c>
    </row>
    <row r="25" spans="4:12" x14ac:dyDescent="0.25">
      <c r="E25" s="2" t="s">
        <v>31</v>
      </c>
    </row>
    <row r="26" spans="4:12" ht="17.25" x14ac:dyDescent="0.3">
      <c r="D26">
        <v>1</v>
      </c>
      <c r="E26" s="1"/>
      <c r="F26">
        <f>((MAX($F$4:$F$21)-F4))/((MAX($F$4:$F$21)-MIN($F$4:$F$21)))</f>
        <v>0</v>
      </c>
      <c r="G26">
        <f t="shared" ref="G26:K26" si="1">((MAX($F$4:$F$21)-G4))/((MAX($F$4:$F$21)-MIN($F$4:$F$21)))</f>
        <v>0.5</v>
      </c>
      <c r="H26">
        <f t="shared" si="1"/>
        <v>1.9</v>
      </c>
      <c r="I26">
        <f t="shared" si="1"/>
        <v>1.8</v>
      </c>
      <c r="J26">
        <f t="shared" si="1"/>
        <v>1.7</v>
      </c>
      <c r="K26">
        <f t="shared" si="1"/>
        <v>1.6</v>
      </c>
    </row>
    <row r="27" spans="4:12" x14ac:dyDescent="0.25">
      <c r="D27">
        <v>2</v>
      </c>
      <c r="F27">
        <f t="shared" ref="F27:K43" si="2">((MAX($F$4:$F$21)-F5))/((MAX($F$4:$F$21)-MIN($F$4:$F$21)))</f>
        <v>0.5</v>
      </c>
      <c r="G27">
        <f t="shared" si="2"/>
        <v>0.5</v>
      </c>
      <c r="H27">
        <f t="shared" si="2"/>
        <v>1.9</v>
      </c>
      <c r="I27">
        <f t="shared" si="2"/>
        <v>1.8</v>
      </c>
      <c r="J27">
        <f t="shared" si="2"/>
        <v>1.7</v>
      </c>
      <c r="K27">
        <f t="shared" si="2"/>
        <v>1.6</v>
      </c>
    </row>
    <row r="28" spans="4:12" x14ac:dyDescent="0.25">
      <c r="D28">
        <v>3</v>
      </c>
      <c r="F28">
        <f t="shared" si="2"/>
        <v>0</v>
      </c>
      <c r="G28">
        <f t="shared" si="2"/>
        <v>0.5</v>
      </c>
      <c r="H28">
        <f t="shared" si="2"/>
        <v>2.1</v>
      </c>
      <c r="I28">
        <f t="shared" si="2"/>
        <v>1.8</v>
      </c>
      <c r="J28">
        <f t="shared" si="2"/>
        <v>1.7</v>
      </c>
      <c r="K28">
        <f t="shared" si="2"/>
        <v>1.6</v>
      </c>
    </row>
    <row r="29" spans="4:12" x14ac:dyDescent="0.25">
      <c r="D29">
        <v>4</v>
      </c>
      <c r="F29">
        <f t="shared" si="2"/>
        <v>1</v>
      </c>
      <c r="G29">
        <f t="shared" si="2"/>
        <v>1</v>
      </c>
      <c r="H29">
        <f t="shared" si="2"/>
        <v>1.9</v>
      </c>
      <c r="I29">
        <f t="shared" si="2"/>
        <v>1.8</v>
      </c>
      <c r="J29">
        <f t="shared" si="2"/>
        <v>1.7</v>
      </c>
      <c r="K29">
        <f t="shared" si="2"/>
        <v>1.6</v>
      </c>
    </row>
    <row r="30" spans="4:12" x14ac:dyDescent="0.25">
      <c r="D30">
        <v>5</v>
      </c>
      <c r="F30">
        <f t="shared" si="2"/>
        <v>0.5</v>
      </c>
      <c r="G30">
        <f t="shared" si="2"/>
        <v>0.5</v>
      </c>
      <c r="H30">
        <f t="shared" si="2"/>
        <v>1.9</v>
      </c>
      <c r="I30">
        <f>((MAX($F$4:$F$21)-I8))/((MAX($F$4:$F$21)-MIN($F$4:$F$21)))</f>
        <v>1.8</v>
      </c>
      <c r="J30">
        <f t="shared" si="2"/>
        <v>1.7</v>
      </c>
      <c r="K30">
        <f t="shared" si="2"/>
        <v>1.6</v>
      </c>
    </row>
    <row r="31" spans="4:12" x14ac:dyDescent="0.25">
      <c r="D31">
        <v>6</v>
      </c>
      <c r="F31">
        <f t="shared" si="2"/>
        <v>0</v>
      </c>
      <c r="G31">
        <f t="shared" si="2"/>
        <v>0</v>
      </c>
      <c r="H31">
        <f t="shared" si="2"/>
        <v>1.9</v>
      </c>
      <c r="I31">
        <f t="shared" si="2"/>
        <v>1.8</v>
      </c>
      <c r="J31">
        <f t="shared" si="2"/>
        <v>1.7</v>
      </c>
      <c r="K31">
        <f t="shared" si="2"/>
        <v>1.6</v>
      </c>
    </row>
    <row r="32" spans="4:12" x14ac:dyDescent="0.25">
      <c r="D32">
        <v>7</v>
      </c>
      <c r="F32">
        <f t="shared" si="2"/>
        <v>1</v>
      </c>
      <c r="G32">
        <f t="shared" si="2"/>
        <v>1</v>
      </c>
      <c r="H32">
        <f t="shared" si="2"/>
        <v>1.9</v>
      </c>
      <c r="I32">
        <f t="shared" si="2"/>
        <v>1.8</v>
      </c>
      <c r="J32">
        <f t="shared" si="2"/>
        <v>1.7</v>
      </c>
      <c r="K32">
        <f t="shared" si="2"/>
        <v>1.6</v>
      </c>
    </row>
    <row r="33" spans="4:12" x14ac:dyDescent="0.25">
      <c r="D33">
        <v>8</v>
      </c>
      <c r="F33">
        <f t="shared" si="2"/>
        <v>0</v>
      </c>
      <c r="G33">
        <f t="shared" si="2"/>
        <v>0.5</v>
      </c>
      <c r="H33">
        <f t="shared" si="2"/>
        <v>1.9</v>
      </c>
      <c r="I33">
        <f t="shared" si="2"/>
        <v>1.8</v>
      </c>
      <c r="J33">
        <f t="shared" si="2"/>
        <v>1.7</v>
      </c>
      <c r="K33">
        <f t="shared" si="2"/>
        <v>1.6</v>
      </c>
    </row>
    <row r="34" spans="4:12" x14ac:dyDescent="0.25">
      <c r="D34">
        <v>9</v>
      </c>
      <c r="F34">
        <f t="shared" si="2"/>
        <v>0</v>
      </c>
      <c r="G34">
        <f t="shared" si="2"/>
        <v>0.5</v>
      </c>
      <c r="H34">
        <f t="shared" si="2"/>
        <v>1.9</v>
      </c>
      <c r="I34">
        <f t="shared" si="2"/>
        <v>1.8</v>
      </c>
      <c r="J34">
        <f t="shared" si="2"/>
        <v>1.7</v>
      </c>
      <c r="K34">
        <f t="shared" si="2"/>
        <v>1.6</v>
      </c>
    </row>
    <row r="35" spans="4:12" x14ac:dyDescent="0.25">
      <c r="D35">
        <v>10</v>
      </c>
      <c r="F35">
        <f t="shared" si="2"/>
        <v>0</v>
      </c>
      <c r="G35">
        <f t="shared" si="2"/>
        <v>1</v>
      </c>
      <c r="H35">
        <f t="shared" si="2"/>
        <v>1.9</v>
      </c>
      <c r="I35">
        <f t="shared" si="2"/>
        <v>1.8</v>
      </c>
      <c r="J35">
        <f t="shared" si="2"/>
        <v>1.7</v>
      </c>
      <c r="K35">
        <f t="shared" si="2"/>
        <v>1.6</v>
      </c>
    </row>
    <row r="36" spans="4:12" x14ac:dyDescent="0.25">
      <c r="D36">
        <v>11</v>
      </c>
      <c r="F36">
        <f t="shared" si="2"/>
        <v>0</v>
      </c>
      <c r="G36">
        <f t="shared" si="2"/>
        <v>0.5</v>
      </c>
      <c r="H36">
        <f t="shared" si="2"/>
        <v>1.9</v>
      </c>
      <c r="I36">
        <f t="shared" si="2"/>
        <v>1.8</v>
      </c>
      <c r="J36">
        <f t="shared" si="2"/>
        <v>1.7</v>
      </c>
      <c r="K36">
        <f t="shared" si="2"/>
        <v>1.6</v>
      </c>
    </row>
    <row r="37" spans="4:12" x14ac:dyDescent="0.25">
      <c r="D37">
        <v>12</v>
      </c>
      <c r="F37">
        <f t="shared" si="2"/>
        <v>0</v>
      </c>
      <c r="G37">
        <f t="shared" si="2"/>
        <v>1</v>
      </c>
      <c r="H37">
        <f t="shared" si="2"/>
        <v>1.9</v>
      </c>
      <c r="I37">
        <f t="shared" si="2"/>
        <v>1.8</v>
      </c>
      <c r="J37">
        <f t="shared" si="2"/>
        <v>1.7</v>
      </c>
      <c r="K37">
        <f t="shared" si="2"/>
        <v>1.6</v>
      </c>
    </row>
    <row r="38" spans="4:12" x14ac:dyDescent="0.25">
      <c r="D38">
        <v>13</v>
      </c>
      <c r="F38">
        <f t="shared" si="2"/>
        <v>0</v>
      </c>
      <c r="G38">
        <f t="shared" si="2"/>
        <v>0.5</v>
      </c>
      <c r="H38">
        <f t="shared" si="2"/>
        <v>1.9</v>
      </c>
      <c r="I38">
        <f t="shared" si="2"/>
        <v>1.8</v>
      </c>
      <c r="J38">
        <f t="shared" si="2"/>
        <v>1.7</v>
      </c>
      <c r="K38">
        <f t="shared" si="2"/>
        <v>1.6</v>
      </c>
    </row>
    <row r="39" spans="4:12" x14ac:dyDescent="0.25">
      <c r="D39">
        <v>14</v>
      </c>
      <c r="F39">
        <f t="shared" si="2"/>
        <v>0</v>
      </c>
      <c r="G39">
        <f t="shared" si="2"/>
        <v>1</v>
      </c>
      <c r="H39">
        <f t="shared" si="2"/>
        <v>1.9</v>
      </c>
      <c r="I39">
        <f t="shared" si="2"/>
        <v>1.8</v>
      </c>
      <c r="J39">
        <f t="shared" si="2"/>
        <v>1.7</v>
      </c>
      <c r="K39">
        <f t="shared" si="2"/>
        <v>1.6</v>
      </c>
    </row>
    <row r="40" spans="4:12" x14ac:dyDescent="0.25">
      <c r="D40">
        <v>15</v>
      </c>
      <c r="F40">
        <f t="shared" si="2"/>
        <v>1</v>
      </c>
      <c r="G40">
        <f t="shared" si="2"/>
        <v>1</v>
      </c>
      <c r="H40">
        <f t="shared" si="2"/>
        <v>1.9</v>
      </c>
      <c r="I40">
        <f t="shared" si="2"/>
        <v>1.8</v>
      </c>
      <c r="J40">
        <f t="shared" si="2"/>
        <v>1.7</v>
      </c>
      <c r="K40">
        <f t="shared" si="2"/>
        <v>1.6</v>
      </c>
    </row>
    <row r="41" spans="4:12" x14ac:dyDescent="0.25">
      <c r="D41">
        <v>16</v>
      </c>
      <c r="F41">
        <f t="shared" si="2"/>
        <v>0</v>
      </c>
      <c r="G41">
        <f t="shared" si="2"/>
        <v>0</v>
      </c>
      <c r="H41">
        <f t="shared" si="2"/>
        <v>1.9</v>
      </c>
      <c r="I41">
        <f t="shared" si="2"/>
        <v>1.8</v>
      </c>
      <c r="J41">
        <f t="shared" si="2"/>
        <v>1.7</v>
      </c>
      <c r="K41">
        <f t="shared" si="2"/>
        <v>1.6</v>
      </c>
    </row>
    <row r="42" spans="4:12" x14ac:dyDescent="0.25">
      <c r="D42">
        <v>17</v>
      </c>
      <c r="F42">
        <f t="shared" si="2"/>
        <v>0</v>
      </c>
      <c r="G42">
        <f t="shared" si="2"/>
        <v>0.5</v>
      </c>
      <c r="H42">
        <f t="shared" si="2"/>
        <v>1.9</v>
      </c>
      <c r="I42">
        <f t="shared" si="2"/>
        <v>1.8</v>
      </c>
      <c r="J42">
        <f t="shared" si="2"/>
        <v>1.7</v>
      </c>
      <c r="K42">
        <f t="shared" si="2"/>
        <v>1.6</v>
      </c>
    </row>
    <row r="43" spans="4:12" x14ac:dyDescent="0.25">
      <c r="D43">
        <v>18</v>
      </c>
      <c r="F43">
        <f t="shared" si="2"/>
        <v>0.5</v>
      </c>
      <c r="G43">
        <f t="shared" si="2"/>
        <v>0.5</v>
      </c>
      <c r="H43">
        <f t="shared" si="2"/>
        <v>1.9</v>
      </c>
      <c r="I43">
        <f t="shared" si="2"/>
        <v>1.8</v>
      </c>
      <c r="J43">
        <f t="shared" si="2"/>
        <v>1.7</v>
      </c>
      <c r="K43">
        <f t="shared" si="2"/>
        <v>1.6</v>
      </c>
    </row>
    <row r="46" spans="4:12" x14ac:dyDescent="0.25">
      <c r="E46" s="2" t="s">
        <v>34</v>
      </c>
      <c r="L46" t="s">
        <v>32</v>
      </c>
    </row>
    <row r="47" spans="4:12" x14ac:dyDescent="0.25">
      <c r="E47">
        <v>1</v>
      </c>
      <c r="F47">
        <f>$F$24*F26</f>
        <v>0</v>
      </c>
      <c r="G47">
        <f t="shared" ref="G47:K47" si="3">$F$24*G26</f>
        <v>0.2</v>
      </c>
      <c r="H47">
        <f t="shared" si="3"/>
        <v>0.76</v>
      </c>
      <c r="I47">
        <f t="shared" si="3"/>
        <v>0.72000000000000008</v>
      </c>
      <c r="J47">
        <f t="shared" si="3"/>
        <v>0.68</v>
      </c>
      <c r="K47">
        <f t="shared" si="3"/>
        <v>0.64000000000000012</v>
      </c>
      <c r="L47">
        <f>SUM(F47:K47)</f>
        <v>3.0000000000000004</v>
      </c>
    </row>
    <row r="48" spans="4:12" x14ac:dyDescent="0.25">
      <c r="E48">
        <v>2</v>
      </c>
      <c r="F48">
        <f t="shared" ref="F48:K64" si="4">$F$24*F27</f>
        <v>0.2</v>
      </c>
      <c r="G48">
        <f t="shared" si="4"/>
        <v>0.2</v>
      </c>
      <c r="H48">
        <f t="shared" si="4"/>
        <v>0.76</v>
      </c>
      <c r="I48">
        <f t="shared" si="4"/>
        <v>0.72000000000000008</v>
      </c>
      <c r="J48">
        <f t="shared" si="4"/>
        <v>0.68</v>
      </c>
      <c r="K48">
        <f t="shared" si="4"/>
        <v>0.64000000000000012</v>
      </c>
      <c r="L48">
        <f t="shared" ref="L48:L64" si="5">SUM(F48:K48)</f>
        <v>3.2000000000000006</v>
      </c>
    </row>
    <row r="49" spans="5:12" x14ac:dyDescent="0.25">
      <c r="E49">
        <v>3</v>
      </c>
      <c r="F49">
        <f t="shared" si="4"/>
        <v>0</v>
      </c>
      <c r="G49">
        <f t="shared" si="4"/>
        <v>0.2</v>
      </c>
      <c r="H49">
        <f t="shared" si="4"/>
        <v>0.84000000000000008</v>
      </c>
      <c r="I49">
        <f t="shared" si="4"/>
        <v>0.72000000000000008</v>
      </c>
      <c r="J49">
        <f t="shared" si="4"/>
        <v>0.68</v>
      </c>
      <c r="K49">
        <f t="shared" si="4"/>
        <v>0.64000000000000012</v>
      </c>
      <c r="L49">
        <f t="shared" si="5"/>
        <v>3.0800000000000005</v>
      </c>
    </row>
    <row r="50" spans="5:12" x14ac:dyDescent="0.25">
      <c r="E50">
        <v>4</v>
      </c>
      <c r="F50">
        <f t="shared" si="4"/>
        <v>0.4</v>
      </c>
      <c r="G50">
        <f t="shared" si="4"/>
        <v>0.4</v>
      </c>
      <c r="H50">
        <f t="shared" si="4"/>
        <v>0.76</v>
      </c>
      <c r="I50">
        <f t="shared" si="4"/>
        <v>0.72000000000000008</v>
      </c>
      <c r="J50">
        <f t="shared" si="4"/>
        <v>0.68</v>
      </c>
      <c r="K50">
        <f t="shared" si="4"/>
        <v>0.64000000000000012</v>
      </c>
      <c r="L50">
        <f t="shared" si="5"/>
        <v>3.6000000000000005</v>
      </c>
    </row>
    <row r="51" spans="5:12" x14ac:dyDescent="0.25">
      <c r="E51">
        <v>5</v>
      </c>
      <c r="F51">
        <f t="shared" si="4"/>
        <v>0.2</v>
      </c>
      <c r="G51">
        <f t="shared" si="4"/>
        <v>0.2</v>
      </c>
      <c r="H51">
        <f t="shared" si="4"/>
        <v>0.76</v>
      </c>
      <c r="I51">
        <f t="shared" si="4"/>
        <v>0.72000000000000008</v>
      </c>
      <c r="J51">
        <f t="shared" si="4"/>
        <v>0.68</v>
      </c>
      <c r="K51">
        <f t="shared" si="4"/>
        <v>0.64000000000000012</v>
      </c>
      <c r="L51">
        <f t="shared" si="5"/>
        <v>3.2000000000000006</v>
      </c>
    </row>
    <row r="52" spans="5:12" x14ac:dyDescent="0.25">
      <c r="E52">
        <v>6</v>
      </c>
      <c r="F52">
        <f t="shared" si="4"/>
        <v>0</v>
      </c>
      <c r="G52">
        <f t="shared" si="4"/>
        <v>0</v>
      </c>
      <c r="H52">
        <f t="shared" si="4"/>
        <v>0.76</v>
      </c>
      <c r="I52">
        <f t="shared" si="4"/>
        <v>0.72000000000000008</v>
      </c>
      <c r="J52">
        <f t="shared" si="4"/>
        <v>0.68</v>
      </c>
      <c r="K52">
        <f t="shared" si="4"/>
        <v>0.64000000000000012</v>
      </c>
      <c r="L52">
        <f t="shared" si="5"/>
        <v>2.8000000000000003</v>
      </c>
    </row>
    <row r="53" spans="5:12" x14ac:dyDescent="0.25">
      <c r="E53">
        <v>7</v>
      </c>
      <c r="F53">
        <f t="shared" si="4"/>
        <v>0.4</v>
      </c>
      <c r="G53">
        <f t="shared" si="4"/>
        <v>0.4</v>
      </c>
      <c r="H53">
        <f t="shared" si="4"/>
        <v>0.76</v>
      </c>
      <c r="I53">
        <f t="shared" si="4"/>
        <v>0.72000000000000008</v>
      </c>
      <c r="J53">
        <f t="shared" si="4"/>
        <v>0.68</v>
      </c>
      <c r="K53">
        <f t="shared" si="4"/>
        <v>0.64000000000000012</v>
      </c>
      <c r="L53">
        <f t="shared" si="5"/>
        <v>3.6000000000000005</v>
      </c>
    </row>
    <row r="54" spans="5:12" x14ac:dyDescent="0.25">
      <c r="E54">
        <v>8</v>
      </c>
      <c r="F54">
        <f t="shared" si="4"/>
        <v>0</v>
      </c>
      <c r="G54">
        <f t="shared" si="4"/>
        <v>0.2</v>
      </c>
      <c r="H54">
        <f t="shared" si="4"/>
        <v>0.76</v>
      </c>
      <c r="I54">
        <f t="shared" si="4"/>
        <v>0.72000000000000008</v>
      </c>
      <c r="J54">
        <f t="shared" si="4"/>
        <v>0.68</v>
      </c>
      <c r="K54">
        <f t="shared" si="4"/>
        <v>0.64000000000000012</v>
      </c>
      <c r="L54">
        <f t="shared" si="5"/>
        <v>3.0000000000000004</v>
      </c>
    </row>
    <row r="55" spans="5:12" x14ac:dyDescent="0.25">
      <c r="E55">
        <v>9</v>
      </c>
      <c r="F55">
        <f t="shared" si="4"/>
        <v>0</v>
      </c>
      <c r="G55">
        <f t="shared" si="4"/>
        <v>0.2</v>
      </c>
      <c r="H55">
        <f t="shared" si="4"/>
        <v>0.76</v>
      </c>
      <c r="I55">
        <f t="shared" si="4"/>
        <v>0.72000000000000008</v>
      </c>
      <c r="J55">
        <f t="shared" si="4"/>
        <v>0.68</v>
      </c>
      <c r="K55">
        <f t="shared" si="4"/>
        <v>0.64000000000000012</v>
      </c>
      <c r="L55">
        <f t="shared" si="5"/>
        <v>3.0000000000000004</v>
      </c>
    </row>
    <row r="56" spans="5:12" x14ac:dyDescent="0.25">
      <c r="E56">
        <v>10</v>
      </c>
      <c r="F56">
        <f t="shared" si="4"/>
        <v>0</v>
      </c>
      <c r="G56">
        <f t="shared" si="4"/>
        <v>0.4</v>
      </c>
      <c r="H56">
        <f t="shared" si="4"/>
        <v>0.76</v>
      </c>
      <c r="I56">
        <f t="shared" si="4"/>
        <v>0.72000000000000008</v>
      </c>
      <c r="J56">
        <f t="shared" si="4"/>
        <v>0.68</v>
      </c>
      <c r="K56">
        <f t="shared" si="4"/>
        <v>0.64000000000000012</v>
      </c>
      <c r="L56">
        <f t="shared" si="5"/>
        <v>3.2000000000000006</v>
      </c>
    </row>
    <row r="57" spans="5:12" x14ac:dyDescent="0.25">
      <c r="E57">
        <v>11</v>
      </c>
      <c r="F57">
        <f t="shared" si="4"/>
        <v>0</v>
      </c>
      <c r="G57">
        <f t="shared" si="4"/>
        <v>0.2</v>
      </c>
      <c r="H57">
        <f t="shared" si="4"/>
        <v>0.76</v>
      </c>
      <c r="I57">
        <f t="shared" si="4"/>
        <v>0.72000000000000008</v>
      </c>
      <c r="J57">
        <f t="shared" si="4"/>
        <v>0.68</v>
      </c>
      <c r="K57">
        <f t="shared" si="4"/>
        <v>0.64000000000000012</v>
      </c>
      <c r="L57">
        <f t="shared" si="5"/>
        <v>3.0000000000000004</v>
      </c>
    </row>
    <row r="58" spans="5:12" x14ac:dyDescent="0.25">
      <c r="E58">
        <v>12</v>
      </c>
      <c r="F58">
        <f t="shared" si="4"/>
        <v>0</v>
      </c>
      <c r="G58">
        <f t="shared" si="4"/>
        <v>0.4</v>
      </c>
      <c r="H58">
        <f t="shared" si="4"/>
        <v>0.76</v>
      </c>
      <c r="I58">
        <f t="shared" si="4"/>
        <v>0.72000000000000008</v>
      </c>
      <c r="J58">
        <f t="shared" si="4"/>
        <v>0.68</v>
      </c>
      <c r="K58">
        <f t="shared" si="4"/>
        <v>0.64000000000000012</v>
      </c>
      <c r="L58">
        <f t="shared" si="5"/>
        <v>3.2000000000000006</v>
      </c>
    </row>
    <row r="59" spans="5:12" x14ac:dyDescent="0.25">
      <c r="E59">
        <v>13</v>
      </c>
      <c r="F59">
        <f t="shared" si="4"/>
        <v>0</v>
      </c>
      <c r="G59">
        <f t="shared" si="4"/>
        <v>0.2</v>
      </c>
      <c r="H59">
        <f t="shared" si="4"/>
        <v>0.76</v>
      </c>
      <c r="I59">
        <f t="shared" si="4"/>
        <v>0.72000000000000008</v>
      </c>
      <c r="J59">
        <f t="shared" si="4"/>
        <v>0.68</v>
      </c>
      <c r="K59">
        <f t="shared" si="4"/>
        <v>0.64000000000000012</v>
      </c>
      <c r="L59">
        <f t="shared" si="5"/>
        <v>3.0000000000000004</v>
      </c>
    </row>
    <row r="60" spans="5:12" x14ac:dyDescent="0.25">
      <c r="E60">
        <v>14</v>
      </c>
      <c r="F60">
        <f t="shared" si="4"/>
        <v>0</v>
      </c>
      <c r="G60">
        <f t="shared" si="4"/>
        <v>0.4</v>
      </c>
      <c r="H60">
        <f t="shared" si="4"/>
        <v>0.76</v>
      </c>
      <c r="I60">
        <f t="shared" si="4"/>
        <v>0.72000000000000008</v>
      </c>
      <c r="J60">
        <f t="shared" si="4"/>
        <v>0.68</v>
      </c>
      <c r="K60">
        <f t="shared" si="4"/>
        <v>0.64000000000000012</v>
      </c>
      <c r="L60">
        <f t="shared" si="5"/>
        <v>3.2000000000000006</v>
      </c>
    </row>
    <row r="61" spans="5:12" x14ac:dyDescent="0.25">
      <c r="E61">
        <v>15</v>
      </c>
      <c r="F61">
        <f t="shared" si="4"/>
        <v>0.4</v>
      </c>
      <c r="G61">
        <f t="shared" si="4"/>
        <v>0.4</v>
      </c>
      <c r="H61">
        <f t="shared" si="4"/>
        <v>0.76</v>
      </c>
      <c r="I61">
        <f t="shared" si="4"/>
        <v>0.72000000000000008</v>
      </c>
      <c r="J61">
        <f t="shared" si="4"/>
        <v>0.68</v>
      </c>
      <c r="K61">
        <f t="shared" si="4"/>
        <v>0.64000000000000012</v>
      </c>
      <c r="L61">
        <f t="shared" si="5"/>
        <v>3.6000000000000005</v>
      </c>
    </row>
    <row r="62" spans="5:12" x14ac:dyDescent="0.25">
      <c r="E62">
        <v>16</v>
      </c>
      <c r="F62">
        <f t="shared" si="4"/>
        <v>0</v>
      </c>
      <c r="G62">
        <f t="shared" si="4"/>
        <v>0</v>
      </c>
      <c r="H62">
        <f t="shared" si="4"/>
        <v>0.76</v>
      </c>
      <c r="I62">
        <f t="shared" si="4"/>
        <v>0.72000000000000008</v>
      </c>
      <c r="J62">
        <f t="shared" si="4"/>
        <v>0.68</v>
      </c>
      <c r="K62">
        <f t="shared" si="4"/>
        <v>0.64000000000000012</v>
      </c>
      <c r="L62">
        <f t="shared" si="5"/>
        <v>2.8000000000000003</v>
      </c>
    </row>
    <row r="63" spans="5:12" x14ac:dyDescent="0.25">
      <c r="E63">
        <v>17</v>
      </c>
      <c r="F63">
        <f t="shared" si="4"/>
        <v>0</v>
      </c>
      <c r="G63">
        <f t="shared" si="4"/>
        <v>0.2</v>
      </c>
      <c r="H63">
        <f t="shared" si="4"/>
        <v>0.76</v>
      </c>
      <c r="I63">
        <f t="shared" si="4"/>
        <v>0.72000000000000008</v>
      </c>
      <c r="J63">
        <f t="shared" si="4"/>
        <v>0.68</v>
      </c>
      <c r="K63">
        <f t="shared" si="4"/>
        <v>0.64000000000000012</v>
      </c>
      <c r="L63">
        <f t="shared" si="5"/>
        <v>3.0000000000000004</v>
      </c>
    </row>
    <row r="64" spans="5:12" x14ac:dyDescent="0.25">
      <c r="E64">
        <v>18</v>
      </c>
      <c r="F64">
        <f t="shared" si="4"/>
        <v>0.2</v>
      </c>
      <c r="G64">
        <f t="shared" si="4"/>
        <v>0.2</v>
      </c>
      <c r="H64">
        <f t="shared" si="4"/>
        <v>0.76</v>
      </c>
      <c r="I64">
        <f t="shared" si="4"/>
        <v>0.72000000000000008</v>
      </c>
      <c r="J64">
        <f t="shared" si="4"/>
        <v>0.68</v>
      </c>
      <c r="K64">
        <f t="shared" si="4"/>
        <v>0.64000000000000012</v>
      </c>
      <c r="L64">
        <f t="shared" si="5"/>
        <v>3.2000000000000006</v>
      </c>
    </row>
    <row r="66" spans="5:6" x14ac:dyDescent="0.25">
      <c r="E66" t="s">
        <v>33</v>
      </c>
    </row>
    <row r="67" spans="5:6" x14ac:dyDescent="0.25">
      <c r="E67">
        <v>1</v>
      </c>
      <c r="F67">
        <f>MAX(F47:K47)</f>
        <v>0.76</v>
      </c>
    </row>
    <row r="68" spans="5:6" x14ac:dyDescent="0.25">
      <c r="E68">
        <v>2</v>
      </c>
      <c r="F68">
        <f t="shared" ref="F68:F84" si="6">MAX(F48:K48)</f>
        <v>0.76</v>
      </c>
    </row>
    <row r="69" spans="5:6" x14ac:dyDescent="0.25">
      <c r="E69">
        <v>3</v>
      </c>
      <c r="F69">
        <f t="shared" si="6"/>
        <v>0.84000000000000008</v>
      </c>
    </row>
    <row r="70" spans="5:6" x14ac:dyDescent="0.25">
      <c r="E70">
        <v>4</v>
      </c>
      <c r="F70">
        <f t="shared" si="6"/>
        <v>0.76</v>
      </c>
    </row>
    <row r="71" spans="5:6" x14ac:dyDescent="0.25">
      <c r="E71">
        <v>5</v>
      </c>
      <c r="F71">
        <f t="shared" si="6"/>
        <v>0.76</v>
      </c>
    </row>
    <row r="72" spans="5:6" x14ac:dyDescent="0.25">
      <c r="E72">
        <v>6</v>
      </c>
      <c r="F72">
        <f t="shared" si="6"/>
        <v>0.76</v>
      </c>
    </row>
    <row r="73" spans="5:6" x14ac:dyDescent="0.25">
      <c r="E73">
        <v>7</v>
      </c>
      <c r="F73">
        <f t="shared" si="6"/>
        <v>0.76</v>
      </c>
    </row>
    <row r="74" spans="5:6" x14ac:dyDescent="0.25">
      <c r="E74">
        <v>8</v>
      </c>
      <c r="F74">
        <f t="shared" si="6"/>
        <v>0.76</v>
      </c>
    </row>
    <row r="75" spans="5:6" x14ac:dyDescent="0.25">
      <c r="E75">
        <v>9</v>
      </c>
      <c r="F75">
        <f t="shared" si="6"/>
        <v>0.76</v>
      </c>
    </row>
    <row r="76" spans="5:6" x14ac:dyDescent="0.25">
      <c r="E76">
        <v>10</v>
      </c>
      <c r="F76">
        <f t="shared" si="6"/>
        <v>0.76</v>
      </c>
    </row>
    <row r="77" spans="5:6" x14ac:dyDescent="0.25">
      <c r="E77">
        <v>11</v>
      </c>
      <c r="F77">
        <f t="shared" si="6"/>
        <v>0.76</v>
      </c>
    </row>
    <row r="78" spans="5:6" x14ac:dyDescent="0.25">
      <c r="E78">
        <v>12</v>
      </c>
      <c r="F78">
        <f t="shared" si="6"/>
        <v>0.76</v>
      </c>
    </row>
    <row r="79" spans="5:6" x14ac:dyDescent="0.25">
      <c r="E79">
        <v>13</v>
      </c>
      <c r="F79">
        <f t="shared" si="6"/>
        <v>0.76</v>
      </c>
    </row>
    <row r="80" spans="5:6" x14ac:dyDescent="0.25">
      <c r="E80">
        <v>14</v>
      </c>
      <c r="F80">
        <f t="shared" si="6"/>
        <v>0.76</v>
      </c>
    </row>
    <row r="81" spans="5:7" x14ac:dyDescent="0.25">
      <c r="E81">
        <v>15</v>
      </c>
      <c r="F81">
        <f t="shared" si="6"/>
        <v>0.76</v>
      </c>
    </row>
    <row r="82" spans="5:7" x14ac:dyDescent="0.25">
      <c r="E82">
        <v>16</v>
      </c>
      <c r="F82">
        <f t="shared" si="6"/>
        <v>0.76</v>
      </c>
    </row>
    <row r="83" spans="5:7" x14ac:dyDescent="0.25">
      <c r="E83">
        <v>17</v>
      </c>
      <c r="F83">
        <f t="shared" si="6"/>
        <v>0.76</v>
      </c>
    </row>
    <row r="84" spans="5:7" x14ac:dyDescent="0.25">
      <c r="E84">
        <v>18</v>
      </c>
      <c r="F84">
        <f t="shared" si="6"/>
        <v>0.76</v>
      </c>
    </row>
    <row r="86" spans="5:7" x14ac:dyDescent="0.25">
      <c r="E86" t="s">
        <v>20</v>
      </c>
      <c r="F86" t="s">
        <v>30</v>
      </c>
      <c r="G86" t="s">
        <v>35</v>
      </c>
    </row>
    <row r="87" spans="5:7" x14ac:dyDescent="0.25">
      <c r="E87" t="s">
        <v>0</v>
      </c>
      <c r="F87">
        <f>L47</f>
        <v>3.0000000000000004</v>
      </c>
      <c r="G87" cm="1">
        <f t="array" ref="G87:G104">F67:F84</f>
        <v>0.76</v>
      </c>
    </row>
    <row r="88" spans="5:7" ht="17.25" x14ac:dyDescent="0.3">
      <c r="E88" s="1" t="s">
        <v>1</v>
      </c>
      <c r="F88">
        <f t="shared" ref="F88:F104" si="7">L48</f>
        <v>3.2000000000000006</v>
      </c>
      <c r="G88">
        <v>0.76</v>
      </c>
    </row>
    <row r="89" spans="5:7" ht="17.25" x14ac:dyDescent="0.3">
      <c r="E89" s="1" t="s">
        <v>2</v>
      </c>
      <c r="F89">
        <f t="shared" si="7"/>
        <v>3.0800000000000005</v>
      </c>
      <c r="G89">
        <v>0.84000000000000008</v>
      </c>
    </row>
    <row r="90" spans="5:7" ht="17.25" x14ac:dyDescent="0.3">
      <c r="E90" s="1" t="s">
        <v>3</v>
      </c>
      <c r="F90">
        <f t="shared" si="7"/>
        <v>3.6000000000000005</v>
      </c>
      <c r="G90">
        <v>0.76</v>
      </c>
    </row>
    <row r="91" spans="5:7" ht="17.25" x14ac:dyDescent="0.3">
      <c r="E91" s="1" t="s">
        <v>5</v>
      </c>
      <c r="F91">
        <f t="shared" si="7"/>
        <v>3.2000000000000006</v>
      </c>
      <c r="G91">
        <v>0.76</v>
      </c>
    </row>
    <row r="92" spans="5:7" ht="17.25" x14ac:dyDescent="0.3">
      <c r="E92" s="1" t="s">
        <v>6</v>
      </c>
      <c r="F92">
        <f t="shared" si="7"/>
        <v>2.8000000000000003</v>
      </c>
      <c r="G92">
        <v>0.76</v>
      </c>
    </row>
    <row r="93" spans="5:7" ht="17.25" x14ac:dyDescent="0.3">
      <c r="E93" s="1" t="s">
        <v>7</v>
      </c>
      <c r="F93">
        <f t="shared" si="7"/>
        <v>3.6000000000000005</v>
      </c>
      <c r="G93">
        <v>0.76</v>
      </c>
    </row>
    <row r="94" spans="5:7" ht="17.25" x14ac:dyDescent="0.3">
      <c r="E94" s="1" t="s">
        <v>8</v>
      </c>
      <c r="F94">
        <f t="shared" si="7"/>
        <v>3.0000000000000004</v>
      </c>
      <c r="G94">
        <v>0.76</v>
      </c>
    </row>
    <row r="95" spans="5:7" ht="17.25" x14ac:dyDescent="0.3">
      <c r="E95" s="1" t="s">
        <v>10</v>
      </c>
      <c r="F95">
        <f t="shared" si="7"/>
        <v>3.0000000000000004</v>
      </c>
      <c r="G95">
        <v>0.76</v>
      </c>
    </row>
    <row r="96" spans="5:7" ht="17.25" x14ac:dyDescent="0.3">
      <c r="E96" s="1" t="s">
        <v>11</v>
      </c>
      <c r="F96">
        <f t="shared" si="7"/>
        <v>3.2000000000000006</v>
      </c>
      <c r="G96">
        <v>0.76</v>
      </c>
    </row>
    <row r="97" spans="4:7" ht="17.25" x14ac:dyDescent="0.3">
      <c r="E97" s="1" t="s">
        <v>12</v>
      </c>
      <c r="F97">
        <f t="shared" si="7"/>
        <v>3.0000000000000004</v>
      </c>
      <c r="G97">
        <v>0.76</v>
      </c>
    </row>
    <row r="98" spans="4:7" ht="17.25" x14ac:dyDescent="0.3">
      <c r="E98" s="1" t="s">
        <v>13</v>
      </c>
      <c r="F98">
        <f t="shared" si="7"/>
        <v>3.2000000000000006</v>
      </c>
      <c r="G98">
        <v>0.76</v>
      </c>
    </row>
    <row r="99" spans="4:7" ht="17.25" x14ac:dyDescent="0.3">
      <c r="E99" s="1" t="s">
        <v>14</v>
      </c>
      <c r="F99">
        <f t="shared" si="7"/>
        <v>3.0000000000000004</v>
      </c>
      <c r="G99">
        <v>0.76</v>
      </c>
    </row>
    <row r="100" spans="4:7" ht="17.25" x14ac:dyDescent="0.3">
      <c r="E100" s="1" t="s">
        <v>15</v>
      </c>
      <c r="F100">
        <f t="shared" si="7"/>
        <v>3.2000000000000006</v>
      </c>
      <c r="G100">
        <v>0.76</v>
      </c>
    </row>
    <row r="101" spans="4:7" ht="17.25" x14ac:dyDescent="0.3">
      <c r="E101" s="1" t="s">
        <v>16</v>
      </c>
      <c r="F101">
        <f t="shared" si="7"/>
        <v>3.6000000000000005</v>
      </c>
      <c r="G101">
        <v>0.76</v>
      </c>
    </row>
    <row r="102" spans="4:7" ht="17.25" x14ac:dyDescent="0.3">
      <c r="E102" s="1" t="s">
        <v>17</v>
      </c>
      <c r="F102">
        <f t="shared" si="7"/>
        <v>2.8000000000000003</v>
      </c>
      <c r="G102">
        <v>0.76</v>
      </c>
    </row>
    <row r="103" spans="4:7" ht="17.25" x14ac:dyDescent="0.3">
      <c r="E103" s="1" t="s">
        <v>18</v>
      </c>
      <c r="F103">
        <f t="shared" si="7"/>
        <v>3.0000000000000004</v>
      </c>
      <c r="G103">
        <v>0.76</v>
      </c>
    </row>
    <row r="104" spans="4:7" ht="17.25" x14ac:dyDescent="0.3">
      <c r="E104" s="1" t="s">
        <v>19</v>
      </c>
      <c r="F104">
        <f t="shared" si="7"/>
        <v>3.2000000000000006</v>
      </c>
      <c r="G104">
        <v>0.76</v>
      </c>
    </row>
    <row r="105" spans="4:7" x14ac:dyDescent="0.25">
      <c r="D105" s="3" t="s">
        <v>36</v>
      </c>
      <c r="E105" s="3"/>
      <c r="F105">
        <f>MIN(F87:F104)</f>
        <v>2.8000000000000003</v>
      </c>
      <c r="G105">
        <f>MIN(G87:G104)</f>
        <v>0.76</v>
      </c>
    </row>
    <row r="106" spans="4:7" x14ac:dyDescent="0.25">
      <c r="D106" s="3" t="s">
        <v>37</v>
      </c>
      <c r="E106" s="3"/>
      <c r="F106">
        <f>MAX(F87:F104)</f>
        <v>3.6000000000000005</v>
      </c>
      <c r="G106">
        <f>MAX(G87:G104)</f>
        <v>0.84000000000000008</v>
      </c>
    </row>
    <row r="108" spans="4:7" x14ac:dyDescent="0.25">
      <c r="E108" s="2" t="s">
        <v>38</v>
      </c>
      <c r="G108" s="2" t="s">
        <v>39</v>
      </c>
    </row>
    <row r="109" spans="4:7" x14ac:dyDescent="0.25">
      <c r="E109">
        <v>1</v>
      </c>
      <c r="F109">
        <f>((F87-$F$105)/($F$106-$F$105)*0.5)+(G87-$G$105)/($G$106-$G$105)*0.5</f>
        <v>0.12500000000000006</v>
      </c>
      <c r="G109">
        <f>_xlfn.RANK.AVG(F109,$F$109:$F$126,1)</f>
        <v>5.5</v>
      </c>
    </row>
    <row r="110" spans="4:7" x14ac:dyDescent="0.25">
      <c r="E110">
        <v>2</v>
      </c>
      <c r="F110">
        <f t="shared" ref="F110:F126" si="8">((F88-$F$105)/($F$106-$F$105)*0.5)+(G88-$G$105)/($G$106-$G$105)*0.5</f>
        <v>0.25000000000000011</v>
      </c>
      <c r="G110">
        <f t="shared" ref="G110:G126" si="9">_xlfn.RANK.AVG(F110,$F$109:$F$126,1)</f>
        <v>11.5</v>
      </c>
    </row>
    <row r="111" spans="4:7" x14ac:dyDescent="0.25">
      <c r="E111">
        <v>3</v>
      </c>
      <c r="F111">
        <f t="shared" si="8"/>
        <v>0.67500000000000004</v>
      </c>
      <c r="G111">
        <f t="shared" si="9"/>
        <v>18</v>
      </c>
    </row>
    <row r="112" spans="4:7" x14ac:dyDescent="0.25">
      <c r="E112">
        <v>4</v>
      </c>
      <c r="F112">
        <f t="shared" si="8"/>
        <v>0.5</v>
      </c>
      <c r="G112">
        <f t="shared" si="9"/>
        <v>16</v>
      </c>
    </row>
    <row r="113" spans="5:7" x14ac:dyDescent="0.25">
      <c r="E113">
        <v>5</v>
      </c>
      <c r="F113">
        <f t="shared" si="8"/>
        <v>0.25000000000000011</v>
      </c>
      <c r="G113">
        <f t="shared" si="9"/>
        <v>11.5</v>
      </c>
    </row>
    <row r="114" spans="5:7" x14ac:dyDescent="0.25">
      <c r="E114">
        <v>6</v>
      </c>
      <c r="F114">
        <f t="shared" si="8"/>
        <v>0</v>
      </c>
      <c r="G114">
        <f t="shared" si="9"/>
        <v>1.5</v>
      </c>
    </row>
    <row r="115" spans="5:7" x14ac:dyDescent="0.25">
      <c r="E115">
        <v>7</v>
      </c>
      <c r="F115">
        <f t="shared" si="8"/>
        <v>0.5</v>
      </c>
      <c r="G115">
        <f t="shared" si="9"/>
        <v>16</v>
      </c>
    </row>
    <row r="116" spans="5:7" x14ac:dyDescent="0.25">
      <c r="E116">
        <v>8</v>
      </c>
      <c r="F116">
        <f t="shared" si="8"/>
        <v>0.12500000000000006</v>
      </c>
      <c r="G116">
        <f t="shared" si="9"/>
        <v>5.5</v>
      </c>
    </row>
    <row r="117" spans="5:7" x14ac:dyDescent="0.25">
      <c r="E117">
        <v>9</v>
      </c>
      <c r="F117">
        <f t="shared" si="8"/>
        <v>0.12500000000000006</v>
      </c>
      <c r="G117">
        <f t="shared" si="9"/>
        <v>5.5</v>
      </c>
    </row>
    <row r="118" spans="5:7" x14ac:dyDescent="0.25">
      <c r="E118">
        <v>10</v>
      </c>
      <c r="F118">
        <f t="shared" si="8"/>
        <v>0.25000000000000011</v>
      </c>
      <c r="G118">
        <f t="shared" si="9"/>
        <v>11.5</v>
      </c>
    </row>
    <row r="119" spans="5:7" x14ac:dyDescent="0.25">
      <c r="E119">
        <v>11</v>
      </c>
      <c r="F119">
        <f t="shared" si="8"/>
        <v>0.12500000000000006</v>
      </c>
      <c r="G119">
        <f>_xlfn.RANK.AVG(F119,$F$109:$F$126,1)</f>
        <v>5.5</v>
      </c>
    </row>
    <row r="120" spans="5:7" x14ac:dyDescent="0.25">
      <c r="E120">
        <v>12</v>
      </c>
      <c r="F120">
        <f t="shared" si="8"/>
        <v>0.25000000000000011</v>
      </c>
      <c r="G120">
        <f t="shared" si="9"/>
        <v>11.5</v>
      </c>
    </row>
    <row r="121" spans="5:7" x14ac:dyDescent="0.25">
      <c r="E121">
        <v>13</v>
      </c>
      <c r="F121">
        <f t="shared" si="8"/>
        <v>0.12500000000000006</v>
      </c>
      <c r="G121">
        <f t="shared" si="9"/>
        <v>5.5</v>
      </c>
    </row>
    <row r="122" spans="5:7" x14ac:dyDescent="0.25">
      <c r="E122">
        <v>14</v>
      </c>
      <c r="F122">
        <f t="shared" si="8"/>
        <v>0.25000000000000011</v>
      </c>
      <c r="G122">
        <f t="shared" si="9"/>
        <v>11.5</v>
      </c>
    </row>
    <row r="123" spans="5:7" x14ac:dyDescent="0.25">
      <c r="E123">
        <v>15</v>
      </c>
      <c r="F123">
        <f t="shared" si="8"/>
        <v>0.5</v>
      </c>
      <c r="G123">
        <f t="shared" si="9"/>
        <v>16</v>
      </c>
    </row>
    <row r="124" spans="5:7" x14ac:dyDescent="0.25">
      <c r="E124">
        <v>16</v>
      </c>
      <c r="F124">
        <f t="shared" si="8"/>
        <v>0</v>
      </c>
      <c r="G124">
        <f t="shared" si="9"/>
        <v>1.5</v>
      </c>
    </row>
    <row r="125" spans="5:7" x14ac:dyDescent="0.25">
      <c r="E125">
        <v>17</v>
      </c>
      <c r="F125">
        <f t="shared" si="8"/>
        <v>0.12500000000000006</v>
      </c>
      <c r="G125">
        <f t="shared" si="9"/>
        <v>5.5</v>
      </c>
    </row>
    <row r="126" spans="5:7" x14ac:dyDescent="0.25">
      <c r="E126">
        <v>18</v>
      </c>
      <c r="F126">
        <f t="shared" si="8"/>
        <v>0.25000000000000011</v>
      </c>
      <c r="G126">
        <f t="shared" si="9"/>
        <v>11.5</v>
      </c>
    </row>
  </sheetData>
  <mergeCells count="3">
    <mergeCell ref="F2:K2"/>
    <mergeCell ref="D105:E105"/>
    <mergeCell ref="D106:E106"/>
  </mergeCells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ramadhan</dc:creator>
  <cp:lastModifiedBy>muhammad ramadhan</cp:lastModifiedBy>
  <dcterms:created xsi:type="dcterms:W3CDTF">2025-05-11T11:26:24Z</dcterms:created>
  <dcterms:modified xsi:type="dcterms:W3CDTF">2025-05-11T15:06:10Z</dcterms:modified>
</cp:coreProperties>
</file>